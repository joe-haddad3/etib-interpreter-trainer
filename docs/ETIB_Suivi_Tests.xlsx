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 des tests" sheetId="2" state="visible" r:id="rId2"/>
    <sheet xmlns:r="http://schemas.openxmlformats.org/officeDocument/2006/relationships" name="Detection d'evenements" sheetId="3" state="visible" r:id="rId3"/>
    <sheet xmlns:r="http://schemas.openxmlformats.org/officeDocument/2006/relationships" name="Module arabe (i'rab)" sheetId="4" state="visible" r:id="rId4"/>
    <sheet xmlns:r="http://schemas.openxmlformats.org/officeDocument/2006/relationships" name="Performance systeme" sheetId="5" state="visible" r:id="rId5"/>
    <sheet xmlns:r="http://schemas.openxmlformats.org/officeDocument/2006/relationships" name="Synthe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</font>
    <font>
      <i val="1"/>
      <color rgb="00808080"/>
      <sz val="9"/>
    </font>
    <font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4" fontId="6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" t="inlineStr">
        <is>
          <t>ETIB Interpreter Trainer — Suivi &amp; evaluation des tests</t>
        </is>
      </c>
    </row>
    <row r="4" ht="30" customHeight="1">
      <c r="B4" s="2" t="inlineStr">
        <is>
          <t>Objectif : centraliser les resultats de tests dans un format exploitable (analysable, chiffrable) et definir les metriques d'evaluation de la solution.</t>
        </is>
      </c>
    </row>
    <row r="6" ht="30" customHeight="1">
      <c r="B6" s="3" t="inlineStr">
        <is>
          <t>Onglet</t>
        </is>
      </c>
      <c r="C6" s="4" t="inlineStr">
        <is>
          <t>A quoi il sert</t>
        </is>
      </c>
    </row>
    <row r="7" ht="30" customHeight="1">
      <c r="B7" s="3" t="inlineStr">
        <is>
          <t>Journal des tests</t>
        </is>
      </c>
      <c r="C7" s="4" t="inlineStr">
        <is>
          <t>Une ligne par cas de test (audio). Transcription de reference vs systeme, WER/CER, score humain vs score systeme. C'est la source principale.</t>
        </is>
      </c>
    </row>
    <row r="8" ht="30" customHeight="1">
      <c r="B8" s="3" t="inlineStr">
        <is>
          <t>Detection d'evenements</t>
        </is>
      </c>
      <c r="C8" s="4" t="inlineStr">
        <is>
          <t>Qualite de detection (hesitations, silences, repetitions, chiffres, terminologie...) vs annotation humaine. Precision / Rappel / F1 calcules automatiquement.</t>
        </is>
      </c>
    </row>
    <row r="9" ht="30" customHeight="1">
      <c r="B9" s="3" t="inlineStr">
        <is>
          <t>Module arabe (i'rab)</t>
        </is>
      </c>
      <c r="C9" s="4" t="inlineStr">
        <is>
          <t>Exactitude de la detection des harakat/tanween finales (VP/incorrect/incertain).</t>
        </is>
      </c>
    </row>
    <row r="10" ht="30" customHeight="1">
      <c r="B10" s="3" t="inlineStr">
        <is>
          <t>Performance systeme</t>
        </is>
      </c>
      <c r="C10" s="4" t="inlineStr">
        <is>
          <t>Latence, demarrage a froid, taux d'echec des appels.</t>
        </is>
      </c>
    </row>
    <row r="11" ht="30" customHeight="1">
      <c r="B11" s="3" t="inlineStr">
        <is>
          <t>Synthese</t>
        </is>
      </c>
      <c r="C11" s="4" t="inlineStr">
        <is>
          <t>Tableau de bord : moyennes par langue et par metrique, calculees a partir des autres onglets.</t>
        </is>
      </c>
    </row>
    <row r="13">
      <c r="B13" s="5" t="inlineStr">
        <is>
          <t>Metriques utilisees</t>
        </is>
      </c>
    </row>
    <row r="14" ht="26" customHeight="1">
      <c r="B14" s="3" t="inlineStr">
        <is>
          <t>WER (Word Error Rate)</t>
        </is>
      </c>
      <c r="C14" s="4" t="inlineStr">
        <is>
          <t>Taux d'erreur de mots de la transcription vs reference. Plus bas = mieux. (%)</t>
        </is>
      </c>
    </row>
    <row r="15" ht="26" customHeight="1">
      <c r="B15" s="3" t="inlineStr">
        <is>
          <t>CER (Character Error Rate)</t>
        </is>
      </c>
      <c r="C15" s="4" t="inlineStr">
        <is>
          <t>Taux d'erreur de caracteres — pertinent pour l'arabe. (%)</t>
        </is>
      </c>
    </row>
    <row r="16" ht="26" customHeight="1">
      <c r="B16" s="3" t="inlineStr">
        <is>
          <t>DER (Diacritic Error Rate)</t>
        </is>
      </c>
      <c r="C16" s="4" t="inlineStr">
        <is>
          <t>Taux d'erreur des diacritiques (tashkeel) — arabe uniquement. (%)</t>
        </is>
      </c>
    </row>
    <row r="17" ht="26" customHeight="1">
      <c r="B17" s="3" t="inlineStr">
        <is>
          <t>Precision</t>
        </is>
      </c>
      <c r="C17" s="4" t="inlineStr">
        <is>
          <t>Parmi les evenements detectes, part de corrects = VP/(VP+FP).</t>
        </is>
      </c>
    </row>
    <row r="18" ht="26" customHeight="1">
      <c r="B18" s="3" t="inlineStr">
        <is>
          <t>Rappel (Recall)</t>
        </is>
      </c>
      <c r="C18" s="4" t="inlineStr">
        <is>
          <t>Parmi les evenements reels, part detectee = VP/(VP+FN).</t>
        </is>
      </c>
    </row>
    <row r="19" ht="26" customHeight="1">
      <c r="B19" s="3" t="inlineStr">
        <is>
          <t>F1</t>
        </is>
      </c>
      <c r="C19" s="4" t="inlineStr">
        <is>
          <t>Moyenne harmonique Precision/Rappel = 2*P*R/(P+R).</t>
        </is>
      </c>
    </row>
    <row r="20" ht="26" customHeight="1">
      <c r="B20" s="3" t="inlineStr">
        <is>
          <t>MAE score</t>
        </is>
      </c>
      <c r="C20" s="4" t="inlineStr">
        <is>
          <t>Ecart absolu moyen entre score systeme et score de l'expert humain (0-100).</t>
        </is>
      </c>
    </row>
    <row r="21" ht="26" customHeight="1">
      <c r="B21" s="3" t="inlineStr">
        <is>
          <t>Correlation r</t>
        </is>
      </c>
      <c r="C21" s="4" t="inlineStr">
        <is>
          <t>Correlation (Pearson) entre scores systeme et scores humains. Proche de 1 = bon accord.</t>
        </is>
      </c>
    </row>
    <row r="22" ht="26" customHeight="1">
      <c r="B22" s="3" t="inlineStr">
        <is>
          <t>Exactitude i'rab</t>
        </is>
      </c>
      <c r="C22" s="4" t="inlineStr">
        <is>
          <t>Mots avec haraka finale correcte / mots evalues. (%)</t>
        </is>
      </c>
    </row>
    <row r="24">
      <c r="B24" s="6" t="inlineStr">
        <is>
          <t>Note : les lignes en italique sont des EXEMPLES a supprimer avant utilisation.</t>
        </is>
      </c>
    </row>
  </sheetData>
  <mergeCells count="1"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" customWidth="1" min="4" max="4"/>
    <col width="14" customWidth="1" min="5" max="5"/>
    <col width="18" customWidth="1" min="6" max="6"/>
    <col width="12" customWidth="1" min="7" max="7"/>
    <col width="14" customWidth="1" min="8" max="8"/>
    <col width="34" customWidth="1" min="9" max="9"/>
    <col width="34" customWidth="1" min="10" max="10"/>
    <col width="9" customWidth="1" min="11" max="11"/>
    <col width="9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26" customWidth="1" min="18" max="18"/>
  </cols>
  <sheetData>
    <row r="1">
      <c r="A1" s="1" t="inlineStr">
        <is>
          <t>Journal des tests — une ligne par cas de test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s="7" t="inlineStr">
        <is>
          <t>ID test</t>
        </is>
      </c>
      <c r="B2" s="7" t="inlineStr">
        <is>
          <t>Date</t>
        </is>
      </c>
      <c r="C2" s="7" t="inlineStr">
        <is>
          <t>Testeur</t>
        </is>
      </c>
      <c r="D2" s="7" t="inlineStr">
        <is>
          <t>Langue</t>
        </is>
      </c>
      <c r="E2" s="7" t="inlineStr">
        <is>
          <t>Mode</t>
        </is>
      </c>
      <c r="F2" s="7" t="inlineStr">
        <is>
          <t>Domaine / theme</t>
        </is>
      </c>
      <c r="G2" s="7" t="inlineStr">
        <is>
          <t>Duree audio (s)</t>
        </is>
      </c>
      <c r="H2" s="7" t="inlineStr">
        <is>
          <t>Methode ASR</t>
        </is>
      </c>
      <c r="I2" s="7" t="inlineStr">
        <is>
          <t>Transcription de reference</t>
        </is>
      </c>
      <c r="J2" s="7" t="inlineStr">
        <is>
          <t>Transcription systeme</t>
        </is>
      </c>
      <c r="K2" s="7" t="inlineStr">
        <is>
          <t>WER (%)</t>
        </is>
      </c>
      <c r="L2" s="7" t="inlineStr">
        <is>
          <t>CER (%)</t>
        </is>
      </c>
      <c r="M2" s="7" t="inlineStr">
        <is>
          <t>DER tashkeel (%)</t>
        </is>
      </c>
      <c r="N2" s="7" t="inlineStr">
        <is>
          <t>Score humain (0-100)</t>
        </is>
      </c>
      <c r="O2" s="7" t="inlineStr">
        <is>
          <t>Score systeme (0-100)</t>
        </is>
      </c>
      <c r="P2" s="7" t="inlineStr">
        <is>
          <t>Ecart |H-S|</t>
        </is>
      </c>
      <c r="Q2" s="7" t="inlineStr">
        <is>
          <t>Statut</t>
        </is>
      </c>
      <c r="R2" s="7" t="inlineStr">
        <is>
          <t>Remarques</t>
        </is>
      </c>
    </row>
    <row r="3">
      <c r="A3" s="8" t="inlineStr">
        <is>
          <t>T001</t>
        </is>
      </c>
      <c r="B3" s="8" t="inlineStr">
        <is>
          <t>2026-07-31</t>
        </is>
      </c>
      <c r="C3" s="8" t="inlineStr">
        <is>
          <t>Joe</t>
        </is>
      </c>
      <c r="D3" s="8" t="inlineStr">
        <is>
          <t>FR</t>
        </is>
      </c>
      <c r="E3" s="8" t="inlineStr">
        <is>
          <t>Consecutif</t>
        </is>
      </c>
      <c r="F3" s="8" t="inlineStr">
        <is>
          <t>Diplomatie</t>
        </is>
      </c>
      <c r="G3" s="8" t="n">
        <v>92</v>
      </c>
      <c r="H3" s="8" t="inlineStr">
        <is>
          <t>Groq w-l-v3</t>
        </is>
      </c>
      <c r="I3" s="9" t="inlineStr">
        <is>
          <t>reference...</t>
        </is>
      </c>
      <c r="J3" s="9" t="inlineStr">
        <is>
          <t>systeme...</t>
        </is>
      </c>
      <c r="K3" s="8" t="n">
        <v>6.5</v>
      </c>
      <c r="L3" s="8" t="n">
        <v>3.1</v>
      </c>
      <c r="M3" s="8" t="inlineStr"/>
      <c r="N3" s="8" t="n">
        <v>78</v>
      </c>
      <c r="O3" s="8" t="n">
        <v>74</v>
      </c>
      <c r="P3" s="10">
        <f>IF(AND(N3&lt;&gt;"",O3&lt;&gt;""),ABS(N3-O3),"")</f>
        <v/>
      </c>
      <c r="Q3" s="8" t="inlineStr">
        <is>
          <t>OK</t>
        </is>
      </c>
      <c r="R3" s="9" t="inlineStr">
        <is>
          <t>exemple — a supprimer</t>
        </is>
      </c>
    </row>
    <row r="4">
      <c r="A4" s="8" t="inlineStr">
        <is>
          <t>T002</t>
        </is>
      </c>
      <c r="B4" s="8" t="inlineStr">
        <is>
          <t>2026-07-31</t>
        </is>
      </c>
      <c r="C4" s="8" t="inlineStr">
        <is>
          <t>Ali</t>
        </is>
      </c>
      <c r="D4" s="8" t="inlineStr">
        <is>
          <t>AR</t>
        </is>
      </c>
      <c r="E4" s="8" t="inlineStr">
        <is>
          <t>Simultane</t>
        </is>
      </c>
      <c r="F4" s="8" t="inlineStr">
        <is>
          <t>Climat</t>
        </is>
      </c>
      <c r="G4" s="8" t="n">
        <v>120</v>
      </c>
      <c r="H4" s="8" t="inlineStr">
        <is>
          <t>faster-whisper</t>
        </is>
      </c>
      <c r="I4" s="9" t="inlineStr">
        <is>
          <t>reference ar...</t>
        </is>
      </c>
      <c r="J4" s="9" t="inlineStr">
        <is>
          <t>systeme ar...</t>
        </is>
      </c>
      <c r="K4" s="8" t="n">
        <v>21</v>
      </c>
      <c r="L4" s="8" t="n">
        <v>12.4</v>
      </c>
      <c r="M4" s="8" t="n">
        <v>18</v>
      </c>
      <c r="N4" s="8" t="n">
        <v>65</v>
      </c>
      <c r="O4" s="8" t="n">
        <v>58</v>
      </c>
      <c r="P4" s="10">
        <f>IF(AND(N4&lt;&gt;"",O4&lt;&gt;""),ABS(N4-O4),"")</f>
        <v/>
      </c>
      <c r="Q4" s="8" t="inlineStr">
        <is>
          <t>OK</t>
        </is>
      </c>
      <c r="R4" s="9" t="inlineStr">
        <is>
          <t>exemple — a supprimer</t>
        </is>
      </c>
    </row>
    <row r="5">
      <c r="A5" s="8" t="inlineStr">
        <is>
          <t>T003</t>
        </is>
      </c>
      <c r="B5" s="8" t="inlineStr">
        <is>
          <t>2026-07-31</t>
        </is>
      </c>
      <c r="C5" s="8" t="inlineStr">
        <is>
          <t>Joe</t>
        </is>
      </c>
      <c r="D5" s="8" t="inlineStr">
        <is>
          <t>EN</t>
        </is>
      </c>
      <c r="E5" s="8" t="inlineStr">
        <is>
          <t>Traduction a vue</t>
        </is>
      </c>
      <c r="F5" s="8" t="inlineStr">
        <is>
          <t>Sante</t>
        </is>
      </c>
      <c r="G5" s="8" t="n">
        <v>60</v>
      </c>
      <c r="H5" s="8" t="inlineStr">
        <is>
          <t>Groq w-l-v3</t>
        </is>
      </c>
      <c r="I5" s="9" t="inlineStr">
        <is>
          <t>reference en...</t>
        </is>
      </c>
      <c r="J5" s="9" t="inlineStr">
        <is>
          <t>systeme en...</t>
        </is>
      </c>
      <c r="K5" s="8" t="n">
        <v>4.2</v>
      </c>
      <c r="L5" s="8" t="n">
        <v>2</v>
      </c>
      <c r="M5" s="8" t="inlineStr"/>
      <c r="N5" s="8" t="n">
        <v>85</v>
      </c>
      <c r="O5" s="8" t="n">
        <v>83</v>
      </c>
      <c r="P5" s="10">
        <f>IF(AND(N5&lt;&gt;"",O5&lt;&gt;""),ABS(N5-O5),"")</f>
        <v/>
      </c>
      <c r="Q5" s="8" t="inlineStr">
        <is>
          <t>Bug</t>
        </is>
      </c>
      <c r="R5" s="9" t="inlineStr">
        <is>
          <t>exemple — a supprimer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>
        <f>IF(AND(N6&lt;&gt;"",O6&lt;&gt;""),ABS(N6-O6),"")</f>
        <v/>
      </c>
      <c r="Q6" s="11" t="n"/>
      <c r="R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>
        <f>IF(AND(N7&lt;&gt;"",O7&lt;&gt;""),ABS(N7-O7),"")</f>
        <v/>
      </c>
      <c r="Q7" s="11" t="n"/>
      <c r="R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>
        <f>IF(AND(N8&lt;&gt;"",O8&lt;&gt;""),ABS(N8-O8),"")</f>
        <v/>
      </c>
      <c r="Q8" s="11" t="n"/>
      <c r="R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>
        <f>IF(AND(N9&lt;&gt;"",O9&lt;&gt;""),ABS(N9-O9),"")</f>
        <v/>
      </c>
      <c r="Q9" s="11" t="n"/>
      <c r="R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>
        <f>IF(AND(N10&lt;&gt;"",O10&lt;&gt;""),ABS(N10-O10),"")</f>
        <v/>
      </c>
      <c r="Q10" s="11" t="n"/>
      <c r="R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>
        <f>IF(AND(N11&lt;&gt;"",O11&lt;&gt;""),ABS(N11-O11),"")</f>
        <v/>
      </c>
      <c r="Q11" s="11" t="n"/>
      <c r="R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>
        <f>IF(AND(N12&lt;&gt;"",O12&lt;&gt;""),ABS(N12-O12),"")</f>
        <v/>
      </c>
      <c r="Q12" s="11" t="n"/>
      <c r="R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>
        <f>IF(AND(N13&lt;&gt;"",O13&lt;&gt;""),ABS(N13-O13),"")</f>
        <v/>
      </c>
      <c r="Q13" s="11" t="n"/>
      <c r="R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>
        <f>IF(AND(N14&lt;&gt;"",O14&lt;&gt;""),ABS(N14-O14),"")</f>
        <v/>
      </c>
      <c r="Q14" s="11" t="n"/>
      <c r="R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>
        <f>IF(AND(N15&lt;&gt;"",O15&lt;&gt;""),ABS(N15-O15),"")</f>
        <v/>
      </c>
      <c r="Q15" s="11" t="n"/>
      <c r="R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>
        <f>IF(AND(N16&lt;&gt;"",O16&lt;&gt;""),ABS(N16-O16),"")</f>
        <v/>
      </c>
      <c r="Q16" s="11" t="n"/>
      <c r="R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>
        <f>IF(AND(N17&lt;&gt;"",O17&lt;&gt;""),ABS(N17-O17),"")</f>
        <v/>
      </c>
      <c r="Q17" s="11" t="n"/>
      <c r="R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>
        <f>IF(AND(N18&lt;&gt;"",O18&lt;&gt;""),ABS(N18-O18),"")</f>
        <v/>
      </c>
      <c r="Q18" s="11" t="n"/>
      <c r="R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>
        <f>IF(AND(N19&lt;&gt;"",O19&lt;&gt;""),ABS(N19-O19),"")</f>
        <v/>
      </c>
      <c r="Q19" s="11" t="n"/>
      <c r="R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>
        <f>IF(AND(N20&lt;&gt;"",O20&lt;&gt;""),ABS(N20-O20),"")</f>
        <v/>
      </c>
      <c r="Q20" s="11" t="n"/>
      <c r="R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>
        <f>IF(AND(N21&lt;&gt;"",O21&lt;&gt;""),ABS(N21-O21),"")</f>
        <v/>
      </c>
      <c r="Q21" s="11" t="n"/>
      <c r="R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>
        <f>IF(AND(N22&lt;&gt;"",O22&lt;&gt;""),ABS(N22-O22),"")</f>
        <v/>
      </c>
      <c r="Q22" s="11" t="n"/>
      <c r="R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>
        <f>IF(AND(N23&lt;&gt;"",O23&lt;&gt;""),ABS(N23-O23),"")</f>
        <v/>
      </c>
      <c r="Q23" s="11" t="n"/>
      <c r="R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>
        <f>IF(AND(N24&lt;&gt;"",O24&lt;&gt;""),ABS(N24-O24),"")</f>
        <v/>
      </c>
      <c r="Q24" s="11" t="n"/>
      <c r="R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>
        <f>IF(AND(N25&lt;&gt;"",O25&lt;&gt;""),ABS(N25-O25),"")</f>
        <v/>
      </c>
      <c r="Q25" s="11" t="n"/>
      <c r="R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>
        <f>IF(AND(N26&lt;&gt;"",O26&lt;&gt;""),ABS(N26-O26),"")</f>
        <v/>
      </c>
      <c r="Q26" s="11" t="n"/>
      <c r="R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>
        <f>IF(AND(N27&lt;&gt;"",O27&lt;&gt;""),ABS(N27-O27),"")</f>
        <v/>
      </c>
      <c r="Q27" s="11" t="n"/>
      <c r="R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>
        <f>IF(AND(N28&lt;&gt;"",O28&lt;&gt;""),ABS(N28-O28),"")</f>
        <v/>
      </c>
      <c r="Q28" s="11" t="n"/>
      <c r="R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>
        <f>IF(AND(N29&lt;&gt;"",O29&lt;&gt;""),ABS(N29-O29),"")</f>
        <v/>
      </c>
      <c r="Q29" s="11" t="n"/>
      <c r="R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>
        <f>IF(AND(N30&lt;&gt;"",O30&lt;&gt;""),ABS(N30-O30),"")</f>
        <v/>
      </c>
      <c r="Q30" s="11" t="n"/>
      <c r="R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>
        <f>IF(AND(N31&lt;&gt;"",O31&lt;&gt;""),ABS(N31-O31),"")</f>
        <v/>
      </c>
      <c r="Q31" s="11" t="n"/>
      <c r="R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>
        <f>IF(AND(N32&lt;&gt;"",O32&lt;&gt;""),ABS(N32-O32),"")</f>
        <v/>
      </c>
      <c r="Q32" s="11" t="n"/>
      <c r="R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>
        <f>IF(AND(N33&lt;&gt;"",O33&lt;&gt;""),ABS(N33-O33),"")</f>
        <v/>
      </c>
      <c r="Q33" s="11" t="n"/>
      <c r="R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>
        <f>IF(AND(N34&lt;&gt;"",O34&lt;&gt;""),ABS(N34-O34),"")</f>
        <v/>
      </c>
      <c r="Q34" s="11" t="n"/>
      <c r="R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>
        <f>IF(AND(N35&lt;&gt;"",O35&lt;&gt;""),ABS(N35-O35),"")</f>
        <v/>
      </c>
      <c r="Q35" s="11" t="n"/>
      <c r="R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>
        <f>IF(AND(N36&lt;&gt;"",O36&lt;&gt;""),ABS(N36-O36),"")</f>
        <v/>
      </c>
      <c r="Q36" s="11" t="n"/>
      <c r="R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>
        <f>IF(AND(N37&lt;&gt;"",O37&lt;&gt;""),ABS(N37-O37),"")</f>
        <v/>
      </c>
      <c r="Q37" s="11" t="n"/>
      <c r="R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>
        <f>IF(AND(N38&lt;&gt;"",O38&lt;&gt;""),ABS(N38-O38),"")</f>
        <v/>
      </c>
      <c r="Q38" s="11" t="n"/>
      <c r="R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>
        <f>IF(AND(N39&lt;&gt;"",O39&lt;&gt;""),ABS(N39-O39),"")</f>
        <v/>
      </c>
      <c r="Q39" s="11" t="n"/>
      <c r="R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>
        <f>IF(AND(N40&lt;&gt;"",O40&lt;&gt;""),ABS(N40-O40),"")</f>
        <v/>
      </c>
      <c r="Q40" s="11" t="n"/>
      <c r="R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>
        <f>IF(AND(N41&lt;&gt;"",O41&lt;&gt;""),ABS(N41-O41),"")</f>
        <v/>
      </c>
      <c r="Q41" s="11" t="n"/>
      <c r="R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>
        <f>IF(AND(N42&lt;&gt;"",O42&lt;&gt;""),ABS(N42-O42),"")</f>
        <v/>
      </c>
      <c r="Q42" s="11" t="n"/>
      <c r="R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>
        <f>IF(AND(N43&lt;&gt;"",O43&lt;&gt;""),ABS(N43-O43),"")</f>
        <v/>
      </c>
      <c r="Q43" s="11" t="n"/>
      <c r="R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>
        <f>IF(AND(N44&lt;&gt;"",O44&lt;&gt;""),ABS(N44-O44),"")</f>
        <v/>
      </c>
      <c r="Q44" s="11" t="n"/>
      <c r="R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>
        <f>IF(AND(N45&lt;&gt;"",O45&lt;&gt;""),ABS(N45-O45),"")</f>
        <v/>
      </c>
      <c r="Q45" s="11" t="n"/>
      <c r="R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>
        <f>IF(AND(N46&lt;&gt;"",O46&lt;&gt;""),ABS(N46-O46),"")</f>
        <v/>
      </c>
      <c r="Q46" s="11" t="n"/>
      <c r="R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>
        <f>IF(AND(N47&lt;&gt;"",O47&lt;&gt;""),ABS(N47-O47),"")</f>
        <v/>
      </c>
      <c r="Q47" s="11" t="n"/>
      <c r="R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>
        <f>IF(AND(N48&lt;&gt;"",O48&lt;&gt;""),ABS(N48-O48),"")</f>
        <v/>
      </c>
      <c r="Q48" s="11" t="n"/>
      <c r="R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>
        <f>IF(AND(N49&lt;&gt;"",O49&lt;&gt;""),ABS(N49-O49),"")</f>
        <v/>
      </c>
      <c r="Q49" s="11" t="n"/>
      <c r="R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>
        <f>IF(AND(N50&lt;&gt;"",O50&lt;&gt;""),ABS(N50-O50),"")</f>
        <v/>
      </c>
      <c r="Q50" s="11" t="n"/>
      <c r="R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>
        <f>IF(AND(N51&lt;&gt;"",O51&lt;&gt;""),ABS(N51-O51),"")</f>
        <v/>
      </c>
      <c r="Q51" s="11" t="n"/>
      <c r="R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>
        <f>IF(AND(N52&lt;&gt;"",O52&lt;&gt;""),ABS(N52-O52),"")</f>
        <v/>
      </c>
      <c r="Q52" s="11" t="n"/>
      <c r="R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>
        <f>IF(AND(N53&lt;&gt;"",O53&lt;&gt;""),ABS(N53-O53),"")</f>
        <v/>
      </c>
      <c r="Q53" s="11" t="n"/>
      <c r="R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>
        <f>IF(AND(N54&lt;&gt;"",O54&lt;&gt;""),ABS(N54-O54),"")</f>
        <v/>
      </c>
      <c r="Q54" s="11" t="n"/>
      <c r="R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>
        <f>IF(AND(N55&lt;&gt;"",O55&lt;&gt;""),ABS(N55-O55),"")</f>
        <v/>
      </c>
      <c r="Q55" s="11" t="n"/>
      <c r="R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>
        <f>IF(AND(N56&lt;&gt;"",O56&lt;&gt;""),ABS(N56-O56),"")</f>
        <v/>
      </c>
      <c r="Q56" s="11" t="n"/>
      <c r="R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>
        <f>IF(AND(N57&lt;&gt;"",O57&lt;&gt;""),ABS(N57-O57),"")</f>
        <v/>
      </c>
      <c r="Q57" s="11" t="n"/>
      <c r="R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>
        <f>IF(AND(N58&lt;&gt;"",O58&lt;&gt;""),ABS(N58-O58),"")</f>
        <v/>
      </c>
      <c r="Q58" s="11" t="n"/>
      <c r="R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>
        <f>IF(AND(N59&lt;&gt;"",O59&lt;&gt;""),ABS(N59-O59),"")</f>
        <v/>
      </c>
      <c r="Q59" s="11" t="n"/>
      <c r="R59" s="11" t="n"/>
    </row>
    <row r="60">
      <c r="P60">
        <f>IF(AND(N60&lt;&gt;"",O60&lt;&gt;""),ABS(N60-O60),"")</f>
        <v/>
      </c>
    </row>
    <row r="61">
      <c r="P61">
        <f>IF(AND(N61&lt;&gt;"",O61&lt;&gt;""),ABS(N61-O61),"")</f>
        <v/>
      </c>
    </row>
    <row r="62">
      <c r="P62">
        <f>IF(AND(N62&lt;&gt;"",O62&lt;&gt;""),ABS(N62-O62),"")</f>
        <v/>
      </c>
    </row>
    <row r="63">
      <c r="P63">
        <f>IF(AND(N63&lt;&gt;"",O63&lt;&gt;""),ABS(N63-O63),"")</f>
        <v/>
      </c>
    </row>
    <row r="64">
      <c r="P64">
        <f>IF(AND(N64&lt;&gt;"",O64&lt;&gt;""),ABS(N64-O64),"")</f>
        <v/>
      </c>
    </row>
    <row r="65">
      <c r="P65">
        <f>IF(AND(N65&lt;&gt;"",O65&lt;&gt;""),ABS(N65-O65),"")</f>
        <v/>
      </c>
    </row>
    <row r="66">
      <c r="P66">
        <f>IF(AND(N66&lt;&gt;"",O66&lt;&gt;""),ABS(N66-O66),"")</f>
        <v/>
      </c>
    </row>
    <row r="67">
      <c r="P67">
        <f>IF(AND(N67&lt;&gt;"",O67&lt;&gt;""),ABS(N67-O67),"")</f>
        <v/>
      </c>
    </row>
    <row r="68">
      <c r="P68">
        <f>IF(AND(N68&lt;&gt;"",O68&lt;&gt;""),ABS(N68-O68),"")</f>
        <v/>
      </c>
    </row>
    <row r="69">
      <c r="P69">
        <f>IF(AND(N69&lt;&gt;"",O69&lt;&gt;""),ABS(N69-O69),"")</f>
        <v/>
      </c>
    </row>
    <row r="70">
      <c r="P70">
        <f>IF(AND(N70&lt;&gt;"",O70&lt;&gt;""),ABS(N70-O70),"")</f>
        <v/>
      </c>
    </row>
    <row r="71">
      <c r="P71">
        <f>IF(AND(N71&lt;&gt;"",O71&lt;&gt;""),ABS(N71-O71),"")</f>
        <v/>
      </c>
    </row>
    <row r="72">
      <c r="P72">
        <f>IF(AND(N72&lt;&gt;"",O72&lt;&gt;""),ABS(N72-O72),"")</f>
        <v/>
      </c>
    </row>
    <row r="73">
      <c r="P73">
        <f>IF(AND(N73&lt;&gt;"",O73&lt;&gt;""),ABS(N73-O73),"")</f>
        <v/>
      </c>
    </row>
    <row r="74">
      <c r="P74">
        <f>IF(AND(N74&lt;&gt;"",O74&lt;&gt;""),ABS(N74-O74),"")</f>
        <v/>
      </c>
    </row>
    <row r="75">
      <c r="P75">
        <f>IF(AND(N75&lt;&gt;"",O75&lt;&gt;""),ABS(N75-O75),"")</f>
        <v/>
      </c>
    </row>
    <row r="76">
      <c r="P76">
        <f>IF(AND(N76&lt;&gt;"",O76&lt;&gt;""),ABS(N76-O76),"")</f>
        <v/>
      </c>
    </row>
    <row r="77">
      <c r="P77">
        <f>IF(AND(N77&lt;&gt;"",O77&lt;&gt;""),ABS(N77-O77),"")</f>
        <v/>
      </c>
    </row>
    <row r="78">
      <c r="P78">
        <f>IF(AND(N78&lt;&gt;"",O78&lt;&gt;""),ABS(N78-O78),"")</f>
        <v/>
      </c>
    </row>
    <row r="79">
      <c r="P79">
        <f>IF(AND(N79&lt;&gt;"",O79&lt;&gt;""),ABS(N79-O79),"")</f>
        <v/>
      </c>
    </row>
    <row r="80">
      <c r="P80">
        <f>IF(AND(N80&lt;&gt;"",O80&lt;&gt;""),ABS(N80-O80),"")</f>
        <v/>
      </c>
    </row>
    <row r="81">
      <c r="P81">
        <f>IF(AND(N81&lt;&gt;"",O81&lt;&gt;""),ABS(N81-O81),"")</f>
        <v/>
      </c>
    </row>
    <row r="82">
      <c r="P82">
        <f>IF(AND(N82&lt;&gt;"",O82&lt;&gt;""),ABS(N82-O82),"")</f>
        <v/>
      </c>
    </row>
    <row r="83">
      <c r="P83">
        <f>IF(AND(N83&lt;&gt;"",O83&lt;&gt;""),ABS(N83-O83),"")</f>
        <v/>
      </c>
    </row>
    <row r="84">
      <c r="P84">
        <f>IF(AND(N84&lt;&gt;"",O84&lt;&gt;""),ABS(N84-O84),"")</f>
        <v/>
      </c>
    </row>
    <row r="85">
      <c r="P85">
        <f>IF(AND(N85&lt;&gt;"",O85&lt;&gt;""),ABS(N85-O85),"")</f>
        <v/>
      </c>
    </row>
    <row r="86">
      <c r="P86">
        <f>IF(AND(N86&lt;&gt;"",O86&lt;&gt;""),ABS(N86-O86),"")</f>
        <v/>
      </c>
    </row>
    <row r="87">
      <c r="P87">
        <f>IF(AND(N87&lt;&gt;"",O87&lt;&gt;""),ABS(N87-O87),"")</f>
        <v/>
      </c>
    </row>
    <row r="88">
      <c r="P88">
        <f>IF(AND(N88&lt;&gt;"",O88&lt;&gt;""),ABS(N88-O88),"")</f>
        <v/>
      </c>
    </row>
    <row r="89">
      <c r="P89">
        <f>IF(AND(N89&lt;&gt;"",O89&lt;&gt;""),ABS(N89-O89),"")</f>
        <v/>
      </c>
    </row>
    <row r="90">
      <c r="P90">
        <f>IF(AND(N90&lt;&gt;"",O90&lt;&gt;""),ABS(N90-O90),"")</f>
        <v/>
      </c>
    </row>
    <row r="91">
      <c r="P91">
        <f>IF(AND(N91&lt;&gt;"",O91&lt;&gt;""),ABS(N91-O91),"")</f>
        <v/>
      </c>
    </row>
    <row r="92">
      <c r="P92">
        <f>IF(AND(N92&lt;&gt;"",O92&lt;&gt;""),ABS(N92-O92),"")</f>
        <v/>
      </c>
    </row>
    <row r="93">
      <c r="P93">
        <f>IF(AND(N93&lt;&gt;"",O93&lt;&gt;""),ABS(N93-O93),"")</f>
        <v/>
      </c>
    </row>
    <row r="94">
      <c r="P94">
        <f>IF(AND(N94&lt;&gt;"",O94&lt;&gt;""),ABS(N94-O94),"")</f>
        <v/>
      </c>
    </row>
    <row r="95">
      <c r="P95">
        <f>IF(AND(N95&lt;&gt;"",O95&lt;&gt;""),ABS(N95-O95),"")</f>
        <v/>
      </c>
    </row>
    <row r="96">
      <c r="P96">
        <f>IF(AND(N96&lt;&gt;"",O96&lt;&gt;""),ABS(N96-O96),"")</f>
        <v/>
      </c>
    </row>
    <row r="97">
      <c r="P97">
        <f>IF(AND(N97&lt;&gt;"",O97&lt;&gt;""),ABS(N97-O97),"")</f>
        <v/>
      </c>
    </row>
    <row r="98">
      <c r="P98">
        <f>IF(AND(N98&lt;&gt;"",O98&lt;&gt;""),ABS(N98-O98),"")</f>
        <v/>
      </c>
    </row>
    <row r="99">
      <c r="P99">
        <f>IF(AND(N99&lt;&gt;"",O99&lt;&gt;""),ABS(N99-O99),"")</f>
        <v/>
      </c>
    </row>
    <row r="100">
      <c r="P100">
        <f>IF(AND(N100&lt;&gt;"",O100&lt;&gt;""),ABS(N100-O100),"")</f>
        <v/>
      </c>
    </row>
    <row r="101">
      <c r="P101">
        <f>IF(AND(N101&lt;&gt;"",O101&lt;&gt;""),ABS(N101-O101),"")</f>
        <v/>
      </c>
    </row>
    <row r="102">
      <c r="P102">
        <f>IF(AND(N102&lt;&gt;"",O102&lt;&gt;""),ABS(N102-O102),"")</f>
        <v/>
      </c>
    </row>
    <row r="103">
      <c r="P103">
        <f>IF(AND(N103&lt;&gt;"",O103&lt;&gt;""),ABS(N103-O103),"")</f>
        <v/>
      </c>
    </row>
    <row r="104">
      <c r="P104">
        <f>IF(AND(N104&lt;&gt;"",O104&lt;&gt;""),ABS(N104-O104),"")</f>
        <v/>
      </c>
    </row>
    <row r="105">
      <c r="P105">
        <f>IF(AND(N105&lt;&gt;"",O105&lt;&gt;""),ABS(N105-O105),"")</f>
        <v/>
      </c>
    </row>
    <row r="106">
      <c r="P106">
        <f>IF(AND(N106&lt;&gt;"",O106&lt;&gt;""),ABS(N106-O106),"")</f>
        <v/>
      </c>
    </row>
    <row r="107">
      <c r="P107">
        <f>IF(AND(N107&lt;&gt;"",O107&lt;&gt;""),ABS(N107-O107),"")</f>
        <v/>
      </c>
    </row>
    <row r="108">
      <c r="P108">
        <f>IF(AND(N108&lt;&gt;"",O108&lt;&gt;""),ABS(N108-O108),"")</f>
        <v/>
      </c>
    </row>
    <row r="109">
      <c r="P109">
        <f>IF(AND(N109&lt;&gt;"",O109&lt;&gt;""),ABS(N109-O109),"")</f>
        <v/>
      </c>
    </row>
    <row r="110">
      <c r="P110">
        <f>IF(AND(N110&lt;&gt;"",O110&lt;&gt;""),ABS(N110-O110),"")</f>
        <v/>
      </c>
    </row>
    <row r="111">
      <c r="P111">
        <f>IF(AND(N111&lt;&gt;"",O111&lt;&gt;""),ABS(N111-O111),"")</f>
        <v/>
      </c>
    </row>
    <row r="112">
      <c r="P112">
        <f>IF(AND(N112&lt;&gt;"",O112&lt;&gt;""),ABS(N112-O112),"")</f>
        <v/>
      </c>
    </row>
    <row r="113">
      <c r="P113">
        <f>IF(AND(N113&lt;&gt;"",O113&lt;&gt;""),ABS(N113-O113),"")</f>
        <v/>
      </c>
    </row>
    <row r="114">
      <c r="P114">
        <f>IF(AND(N114&lt;&gt;"",O114&lt;&gt;""),ABS(N114-O114),"")</f>
        <v/>
      </c>
    </row>
    <row r="115">
      <c r="P115">
        <f>IF(AND(N115&lt;&gt;"",O115&lt;&gt;""),ABS(N115-O115),"")</f>
        <v/>
      </c>
    </row>
    <row r="116">
      <c r="P116">
        <f>IF(AND(N116&lt;&gt;"",O116&lt;&gt;""),ABS(N116-O116),"")</f>
        <v/>
      </c>
    </row>
    <row r="117">
      <c r="P117">
        <f>IF(AND(N117&lt;&gt;"",O117&lt;&gt;""),ABS(N117-O117),"")</f>
        <v/>
      </c>
    </row>
    <row r="118">
      <c r="P118">
        <f>IF(AND(N118&lt;&gt;"",O118&lt;&gt;""),ABS(N118-O118),"")</f>
        <v/>
      </c>
    </row>
    <row r="119">
      <c r="P119">
        <f>IF(AND(N119&lt;&gt;"",O119&lt;&gt;""),ABS(N119-O119),"")</f>
        <v/>
      </c>
    </row>
    <row r="120">
      <c r="P120">
        <f>IF(AND(N120&lt;&gt;"",O120&lt;&gt;""),ABS(N120-O120),"")</f>
        <v/>
      </c>
    </row>
    <row r="121">
      <c r="P121">
        <f>IF(AND(N121&lt;&gt;"",O121&lt;&gt;""),ABS(N121-O121),"")</f>
        <v/>
      </c>
    </row>
    <row r="122">
      <c r="P122">
        <f>IF(AND(N122&lt;&gt;"",O122&lt;&gt;""),ABS(N122-O122),"")</f>
        <v/>
      </c>
    </row>
    <row r="123">
      <c r="P123">
        <f>IF(AND(N123&lt;&gt;"",O123&lt;&gt;""),ABS(N123-O123),"")</f>
        <v/>
      </c>
    </row>
    <row r="124">
      <c r="P124">
        <f>IF(AND(N124&lt;&gt;"",O124&lt;&gt;""),ABS(N124-O124),"")</f>
        <v/>
      </c>
    </row>
    <row r="125">
      <c r="P125">
        <f>IF(AND(N125&lt;&gt;"",O125&lt;&gt;""),ABS(N125-O125),"")</f>
        <v/>
      </c>
    </row>
    <row r="126">
      <c r="P126">
        <f>IF(AND(N126&lt;&gt;"",O126&lt;&gt;""),ABS(N126-O126),"")</f>
        <v/>
      </c>
    </row>
    <row r="127">
      <c r="P127">
        <f>IF(AND(N127&lt;&gt;"",O127&lt;&gt;""),ABS(N127-O127),"")</f>
        <v/>
      </c>
    </row>
    <row r="128">
      <c r="P128">
        <f>IF(AND(N128&lt;&gt;"",O128&lt;&gt;""),ABS(N128-O128),"")</f>
        <v/>
      </c>
    </row>
    <row r="129">
      <c r="P129">
        <f>IF(AND(N129&lt;&gt;"",O129&lt;&gt;""),ABS(N129-O129),"")</f>
        <v/>
      </c>
    </row>
    <row r="130">
      <c r="P130">
        <f>IF(AND(N130&lt;&gt;"",O130&lt;&gt;""),ABS(N130-O130),"")</f>
        <v/>
      </c>
    </row>
    <row r="131">
      <c r="P131">
        <f>IF(AND(N131&lt;&gt;"",O131&lt;&gt;""),ABS(N131-O131),"")</f>
        <v/>
      </c>
    </row>
    <row r="132">
      <c r="P132">
        <f>IF(AND(N132&lt;&gt;"",O132&lt;&gt;""),ABS(N132-O132),"")</f>
        <v/>
      </c>
    </row>
    <row r="133">
      <c r="P133">
        <f>IF(AND(N133&lt;&gt;"",O133&lt;&gt;""),ABS(N133-O133),"")</f>
        <v/>
      </c>
    </row>
    <row r="134">
      <c r="P134">
        <f>IF(AND(N134&lt;&gt;"",O134&lt;&gt;""),ABS(N134-O134),"")</f>
        <v/>
      </c>
    </row>
    <row r="135">
      <c r="P135">
        <f>IF(AND(N135&lt;&gt;"",O135&lt;&gt;""),ABS(N135-O135),"")</f>
        <v/>
      </c>
    </row>
    <row r="136">
      <c r="P136">
        <f>IF(AND(N136&lt;&gt;"",O136&lt;&gt;""),ABS(N136-O136),"")</f>
        <v/>
      </c>
    </row>
    <row r="137">
      <c r="P137">
        <f>IF(AND(N137&lt;&gt;"",O137&lt;&gt;""),ABS(N137-O137),"")</f>
        <v/>
      </c>
    </row>
    <row r="138">
      <c r="P138">
        <f>IF(AND(N138&lt;&gt;"",O138&lt;&gt;""),ABS(N138-O138),"")</f>
        <v/>
      </c>
    </row>
    <row r="139">
      <c r="P139">
        <f>IF(AND(N139&lt;&gt;"",O139&lt;&gt;""),ABS(N139-O139),"")</f>
        <v/>
      </c>
    </row>
    <row r="140">
      <c r="P140">
        <f>IF(AND(N140&lt;&gt;"",O140&lt;&gt;""),ABS(N140-O140),"")</f>
        <v/>
      </c>
    </row>
    <row r="141">
      <c r="P141">
        <f>IF(AND(N141&lt;&gt;"",O141&lt;&gt;""),ABS(N141-O141),"")</f>
        <v/>
      </c>
    </row>
    <row r="142">
      <c r="P142">
        <f>IF(AND(N142&lt;&gt;"",O142&lt;&gt;""),ABS(N142-O142),"")</f>
        <v/>
      </c>
    </row>
    <row r="143">
      <c r="P143">
        <f>IF(AND(N143&lt;&gt;"",O143&lt;&gt;""),ABS(N143-O143),"")</f>
        <v/>
      </c>
    </row>
    <row r="144">
      <c r="P144">
        <f>IF(AND(N144&lt;&gt;"",O144&lt;&gt;""),ABS(N144-O144),"")</f>
        <v/>
      </c>
    </row>
    <row r="145">
      <c r="P145">
        <f>IF(AND(N145&lt;&gt;"",O145&lt;&gt;""),ABS(N145-O145),"")</f>
        <v/>
      </c>
    </row>
    <row r="146">
      <c r="P146">
        <f>IF(AND(N146&lt;&gt;"",O146&lt;&gt;""),ABS(N146-O146),"")</f>
        <v/>
      </c>
    </row>
    <row r="147">
      <c r="P147">
        <f>IF(AND(N147&lt;&gt;"",O147&lt;&gt;""),ABS(N147-O147),"")</f>
        <v/>
      </c>
    </row>
    <row r="148">
      <c r="P148">
        <f>IF(AND(N148&lt;&gt;"",O148&lt;&gt;""),ABS(N148-O148),"")</f>
        <v/>
      </c>
    </row>
    <row r="149">
      <c r="P149">
        <f>IF(AND(N149&lt;&gt;"",O149&lt;&gt;""),ABS(N149-O149),"")</f>
        <v/>
      </c>
    </row>
    <row r="150">
      <c r="P150">
        <f>IF(AND(N150&lt;&gt;"",O150&lt;&gt;""),ABS(N150-O150),"")</f>
        <v/>
      </c>
    </row>
    <row r="151">
      <c r="P151">
        <f>IF(AND(N151&lt;&gt;"",O151&lt;&gt;""),ABS(N151-O151),"")</f>
        <v/>
      </c>
    </row>
    <row r="152">
      <c r="P152">
        <f>IF(AND(N152&lt;&gt;"",O152&lt;&gt;""),ABS(N152-O152),"")</f>
        <v/>
      </c>
    </row>
    <row r="153">
      <c r="P153">
        <f>IF(AND(N153&lt;&gt;"",O153&lt;&gt;""),ABS(N153-O153),"")</f>
        <v/>
      </c>
    </row>
    <row r="154">
      <c r="P154">
        <f>IF(AND(N154&lt;&gt;"",O154&lt;&gt;""),ABS(N154-O154),"")</f>
        <v/>
      </c>
    </row>
    <row r="155">
      <c r="P155">
        <f>IF(AND(N155&lt;&gt;"",O155&lt;&gt;""),ABS(N155-O155),"")</f>
        <v/>
      </c>
    </row>
    <row r="156">
      <c r="P156">
        <f>IF(AND(N156&lt;&gt;"",O156&lt;&gt;""),ABS(N156-O156),"")</f>
        <v/>
      </c>
    </row>
    <row r="157">
      <c r="P157">
        <f>IF(AND(N157&lt;&gt;"",O157&lt;&gt;""),ABS(N157-O157),"")</f>
        <v/>
      </c>
    </row>
    <row r="158">
      <c r="P158">
        <f>IF(AND(N158&lt;&gt;"",O158&lt;&gt;""),ABS(N158-O158),"")</f>
        <v/>
      </c>
    </row>
    <row r="159">
      <c r="P159">
        <f>IF(AND(N159&lt;&gt;"",O159&lt;&gt;""),ABS(N159-O159),"")</f>
        <v/>
      </c>
    </row>
    <row r="160">
      <c r="P160">
        <f>IF(AND(N160&lt;&gt;"",O160&lt;&gt;""),ABS(N160-O160),"")</f>
        <v/>
      </c>
    </row>
    <row r="161">
      <c r="P161">
        <f>IF(AND(N161&lt;&gt;"",O161&lt;&gt;""),ABS(N161-O161),"")</f>
        <v/>
      </c>
    </row>
    <row r="162">
      <c r="P162">
        <f>IF(AND(N162&lt;&gt;"",O162&lt;&gt;""),ABS(N162-O162),"")</f>
        <v/>
      </c>
    </row>
    <row r="163">
      <c r="P163">
        <f>IF(AND(N163&lt;&gt;"",O163&lt;&gt;""),ABS(N163-O163),"")</f>
        <v/>
      </c>
    </row>
    <row r="164">
      <c r="P164">
        <f>IF(AND(N164&lt;&gt;"",O164&lt;&gt;""),ABS(N164-O164),"")</f>
        <v/>
      </c>
    </row>
    <row r="165">
      <c r="P165">
        <f>IF(AND(N165&lt;&gt;"",O165&lt;&gt;""),ABS(N165-O165),"")</f>
        <v/>
      </c>
    </row>
    <row r="166">
      <c r="P166">
        <f>IF(AND(N166&lt;&gt;"",O166&lt;&gt;""),ABS(N166-O166),"")</f>
        <v/>
      </c>
    </row>
    <row r="167">
      <c r="P167">
        <f>IF(AND(N167&lt;&gt;"",O167&lt;&gt;""),ABS(N167-O167),"")</f>
        <v/>
      </c>
    </row>
    <row r="168">
      <c r="P168">
        <f>IF(AND(N168&lt;&gt;"",O168&lt;&gt;""),ABS(N168-O168),"")</f>
        <v/>
      </c>
    </row>
    <row r="169">
      <c r="P169">
        <f>IF(AND(N169&lt;&gt;"",O169&lt;&gt;""),ABS(N169-O169),"")</f>
        <v/>
      </c>
    </row>
    <row r="170">
      <c r="P170">
        <f>IF(AND(N170&lt;&gt;"",O170&lt;&gt;""),ABS(N170-O170),"")</f>
        <v/>
      </c>
    </row>
    <row r="171">
      <c r="P171">
        <f>IF(AND(N171&lt;&gt;"",O171&lt;&gt;""),ABS(N171-O171),"")</f>
        <v/>
      </c>
    </row>
    <row r="172">
      <c r="P172">
        <f>IF(AND(N172&lt;&gt;"",O172&lt;&gt;""),ABS(N172-O172),"")</f>
        <v/>
      </c>
    </row>
    <row r="173">
      <c r="P173">
        <f>IF(AND(N173&lt;&gt;"",O173&lt;&gt;""),ABS(N173-O173),"")</f>
        <v/>
      </c>
    </row>
    <row r="174">
      <c r="P174">
        <f>IF(AND(N174&lt;&gt;"",O174&lt;&gt;""),ABS(N174-O174),"")</f>
        <v/>
      </c>
    </row>
    <row r="175">
      <c r="P175">
        <f>IF(AND(N175&lt;&gt;"",O175&lt;&gt;""),ABS(N175-O175),"")</f>
        <v/>
      </c>
    </row>
    <row r="176">
      <c r="P176">
        <f>IF(AND(N176&lt;&gt;"",O176&lt;&gt;""),ABS(N176-O176),"")</f>
        <v/>
      </c>
    </row>
    <row r="177">
      <c r="P177">
        <f>IF(AND(N177&lt;&gt;"",O177&lt;&gt;""),ABS(N177-O177),"")</f>
        <v/>
      </c>
    </row>
    <row r="178">
      <c r="P178">
        <f>IF(AND(N178&lt;&gt;"",O178&lt;&gt;""),ABS(N178-O178),"")</f>
        <v/>
      </c>
    </row>
    <row r="179">
      <c r="P179">
        <f>IF(AND(N179&lt;&gt;"",O179&lt;&gt;""),ABS(N179-O179),"")</f>
        <v/>
      </c>
    </row>
    <row r="180">
      <c r="P180">
        <f>IF(AND(N180&lt;&gt;"",O180&lt;&gt;""),ABS(N180-O180),"")</f>
        <v/>
      </c>
    </row>
    <row r="181">
      <c r="P181">
        <f>IF(AND(N181&lt;&gt;"",O181&lt;&gt;""),ABS(N181-O181),"")</f>
        <v/>
      </c>
    </row>
    <row r="182">
      <c r="P182">
        <f>IF(AND(N182&lt;&gt;"",O182&lt;&gt;""),ABS(N182-O182),"")</f>
        <v/>
      </c>
    </row>
    <row r="183">
      <c r="P183">
        <f>IF(AND(N183&lt;&gt;"",O183&lt;&gt;""),ABS(N183-O183),"")</f>
        <v/>
      </c>
    </row>
    <row r="184">
      <c r="P184">
        <f>IF(AND(N184&lt;&gt;"",O184&lt;&gt;""),ABS(N184-O184),"")</f>
        <v/>
      </c>
    </row>
    <row r="185">
      <c r="P185">
        <f>IF(AND(N185&lt;&gt;"",O185&lt;&gt;""),ABS(N185-O185),"")</f>
        <v/>
      </c>
    </row>
    <row r="186">
      <c r="P186">
        <f>IF(AND(N186&lt;&gt;"",O186&lt;&gt;""),ABS(N186-O186),"")</f>
        <v/>
      </c>
    </row>
    <row r="187">
      <c r="P187">
        <f>IF(AND(N187&lt;&gt;"",O187&lt;&gt;""),ABS(N187-O187),"")</f>
        <v/>
      </c>
    </row>
    <row r="188">
      <c r="P188">
        <f>IF(AND(N188&lt;&gt;"",O188&lt;&gt;""),ABS(N188-O188),"")</f>
        <v/>
      </c>
    </row>
    <row r="189">
      <c r="P189">
        <f>IF(AND(N189&lt;&gt;"",O189&lt;&gt;""),ABS(N189-O189),"")</f>
        <v/>
      </c>
    </row>
    <row r="190">
      <c r="P190">
        <f>IF(AND(N190&lt;&gt;"",O190&lt;&gt;""),ABS(N190-O190),"")</f>
        <v/>
      </c>
    </row>
    <row r="191">
      <c r="P191">
        <f>IF(AND(N191&lt;&gt;"",O191&lt;&gt;""),ABS(N191-O191),"")</f>
        <v/>
      </c>
    </row>
    <row r="192">
      <c r="P192">
        <f>IF(AND(N192&lt;&gt;"",O192&lt;&gt;""),ABS(N192-O192),"")</f>
        <v/>
      </c>
    </row>
    <row r="193">
      <c r="P193">
        <f>IF(AND(N193&lt;&gt;"",O193&lt;&gt;""),ABS(N193-O193),"")</f>
        <v/>
      </c>
    </row>
    <row r="194">
      <c r="P194">
        <f>IF(AND(N194&lt;&gt;"",O194&lt;&gt;""),ABS(N194-O194),"")</f>
        <v/>
      </c>
    </row>
    <row r="195">
      <c r="P195">
        <f>IF(AND(N195&lt;&gt;"",O195&lt;&gt;""),ABS(N195-O195),"")</f>
        <v/>
      </c>
    </row>
    <row r="196">
      <c r="P196">
        <f>IF(AND(N196&lt;&gt;"",O196&lt;&gt;""),ABS(N196-O196),"")</f>
        <v/>
      </c>
    </row>
    <row r="197">
      <c r="P197">
        <f>IF(AND(N197&lt;&gt;"",O197&lt;&gt;""),ABS(N197-O197),"")</f>
        <v/>
      </c>
    </row>
    <row r="198">
      <c r="P198">
        <f>IF(AND(N198&lt;&gt;"",O198&lt;&gt;""),ABS(N198-O198),"")</f>
        <v/>
      </c>
    </row>
    <row r="199">
      <c r="P199">
        <f>IF(AND(N199&lt;&gt;"",O199&lt;&gt;""),ABS(N199-O199),"")</f>
        <v/>
      </c>
    </row>
    <row r="200">
      <c r="P200">
        <f>IF(AND(N200&lt;&gt;"",O200&lt;&gt;""),ABS(N200-O200),"")</f>
        <v/>
      </c>
    </row>
    <row r="201">
      <c r="P201">
        <f>IF(AND(N201&lt;&gt;"",O201&lt;&gt;""),ABS(N201-O201),"")</f>
        <v/>
      </c>
    </row>
    <row r="202">
      <c r="P202">
        <f>IF(AND(N202&lt;&gt;"",O202&lt;&gt;""),ABS(N202-O202),"")</f>
        <v/>
      </c>
    </row>
    <row r="203">
      <c r="P203">
        <f>IF(AND(N203&lt;&gt;"",O203&lt;&gt;""),ABS(N203-O203),"")</f>
        <v/>
      </c>
    </row>
    <row r="204">
      <c r="P204">
        <f>IF(AND(N204&lt;&gt;"",O204&lt;&gt;""),ABS(N204-O204),"")</f>
        <v/>
      </c>
    </row>
    <row r="205">
      <c r="P205">
        <f>IF(AND(N205&lt;&gt;"",O205&lt;&gt;""),ABS(N205-O205),"")</f>
        <v/>
      </c>
    </row>
    <row r="206">
      <c r="P206">
        <f>IF(AND(N206&lt;&gt;"",O206&lt;&gt;""),ABS(N206-O206),"")</f>
        <v/>
      </c>
    </row>
    <row r="207">
      <c r="P207">
        <f>IF(AND(N207&lt;&gt;"",O207&lt;&gt;""),ABS(N207-O207),"")</f>
        <v/>
      </c>
    </row>
    <row r="208">
      <c r="P208">
        <f>IF(AND(N208&lt;&gt;"",O208&lt;&gt;""),ABS(N208-O208),"")</f>
        <v/>
      </c>
    </row>
    <row r="209">
      <c r="P209">
        <f>IF(AND(N209&lt;&gt;"",O209&lt;&gt;""),ABS(N209-O209),"")</f>
        <v/>
      </c>
    </row>
    <row r="210">
      <c r="P210">
        <f>IF(AND(N210&lt;&gt;"",O210&lt;&gt;""),ABS(N210-O210),"")</f>
        <v/>
      </c>
    </row>
    <row r="211">
      <c r="P211">
        <f>IF(AND(N211&lt;&gt;"",O211&lt;&gt;""),ABS(N211-O211),"")</f>
        <v/>
      </c>
    </row>
    <row r="212">
      <c r="P212">
        <f>IF(AND(N212&lt;&gt;"",O212&lt;&gt;""),ABS(N212-O212),"")</f>
        <v/>
      </c>
    </row>
    <row r="213">
      <c r="P213">
        <f>IF(AND(N213&lt;&gt;"",O213&lt;&gt;""),ABS(N213-O213),"")</f>
        <v/>
      </c>
    </row>
    <row r="214">
      <c r="P214">
        <f>IF(AND(N214&lt;&gt;"",O214&lt;&gt;""),ABS(N214-O214),"")</f>
        <v/>
      </c>
    </row>
    <row r="215">
      <c r="P215">
        <f>IF(AND(N215&lt;&gt;"",O215&lt;&gt;""),ABS(N215-O215),"")</f>
        <v/>
      </c>
    </row>
    <row r="216">
      <c r="P216">
        <f>IF(AND(N216&lt;&gt;"",O216&lt;&gt;""),ABS(N216-O216),"")</f>
        <v/>
      </c>
    </row>
    <row r="217">
      <c r="P217">
        <f>IF(AND(N217&lt;&gt;"",O217&lt;&gt;""),ABS(N217-O217),"")</f>
        <v/>
      </c>
    </row>
    <row r="218">
      <c r="P218">
        <f>IF(AND(N218&lt;&gt;"",O218&lt;&gt;""),ABS(N218-O218),"")</f>
        <v/>
      </c>
    </row>
    <row r="219">
      <c r="P219">
        <f>IF(AND(N219&lt;&gt;"",O219&lt;&gt;""),ABS(N219-O219),"")</f>
        <v/>
      </c>
    </row>
    <row r="220">
      <c r="P220">
        <f>IF(AND(N220&lt;&gt;"",O220&lt;&gt;""),ABS(N220-O220),"")</f>
        <v/>
      </c>
    </row>
    <row r="221">
      <c r="P221">
        <f>IF(AND(N221&lt;&gt;"",O221&lt;&gt;""),ABS(N221-O221),"")</f>
        <v/>
      </c>
    </row>
    <row r="222">
      <c r="P222">
        <f>IF(AND(N222&lt;&gt;"",O222&lt;&gt;""),ABS(N222-O222),"")</f>
        <v/>
      </c>
    </row>
    <row r="223">
      <c r="P223">
        <f>IF(AND(N223&lt;&gt;"",O223&lt;&gt;""),ABS(N223-O223),"")</f>
        <v/>
      </c>
    </row>
    <row r="224">
      <c r="P224">
        <f>IF(AND(N224&lt;&gt;"",O224&lt;&gt;""),ABS(N224-O224),"")</f>
        <v/>
      </c>
    </row>
    <row r="225">
      <c r="P225">
        <f>IF(AND(N225&lt;&gt;"",O225&lt;&gt;""),ABS(N225-O225),"")</f>
        <v/>
      </c>
    </row>
    <row r="226">
      <c r="P226">
        <f>IF(AND(N226&lt;&gt;"",O226&lt;&gt;""),ABS(N226-O226),"")</f>
        <v/>
      </c>
    </row>
    <row r="227">
      <c r="P227">
        <f>IF(AND(N227&lt;&gt;"",O227&lt;&gt;""),ABS(N227-O227),"")</f>
        <v/>
      </c>
    </row>
    <row r="228">
      <c r="P228">
        <f>IF(AND(N228&lt;&gt;"",O228&lt;&gt;""),ABS(N228-O228),"")</f>
        <v/>
      </c>
    </row>
    <row r="229">
      <c r="P229">
        <f>IF(AND(N229&lt;&gt;"",O229&lt;&gt;""),ABS(N229-O229),"")</f>
        <v/>
      </c>
    </row>
    <row r="230">
      <c r="P230">
        <f>IF(AND(N230&lt;&gt;"",O230&lt;&gt;""),ABS(N230-O230),"")</f>
        <v/>
      </c>
    </row>
    <row r="231">
      <c r="P231">
        <f>IF(AND(N231&lt;&gt;"",O231&lt;&gt;""),ABS(N231-O231),"")</f>
        <v/>
      </c>
    </row>
    <row r="232">
      <c r="P232">
        <f>IF(AND(N232&lt;&gt;"",O232&lt;&gt;""),ABS(N232-O232),"")</f>
        <v/>
      </c>
    </row>
    <row r="233">
      <c r="P233">
        <f>IF(AND(N233&lt;&gt;"",O233&lt;&gt;""),ABS(N233-O233),"")</f>
        <v/>
      </c>
    </row>
    <row r="234">
      <c r="P234">
        <f>IF(AND(N234&lt;&gt;"",O234&lt;&gt;""),ABS(N234-O234),"")</f>
        <v/>
      </c>
    </row>
    <row r="235">
      <c r="P235">
        <f>IF(AND(N235&lt;&gt;"",O235&lt;&gt;""),ABS(N235-O235),"")</f>
        <v/>
      </c>
    </row>
    <row r="236">
      <c r="P236">
        <f>IF(AND(N236&lt;&gt;"",O236&lt;&gt;""),ABS(N236-O236),"")</f>
        <v/>
      </c>
    </row>
    <row r="237">
      <c r="P237">
        <f>IF(AND(N237&lt;&gt;"",O237&lt;&gt;""),ABS(N237-O237),"")</f>
        <v/>
      </c>
    </row>
    <row r="238">
      <c r="P238">
        <f>IF(AND(N238&lt;&gt;"",O238&lt;&gt;""),ABS(N238-O238),"")</f>
        <v/>
      </c>
    </row>
    <row r="239">
      <c r="P239">
        <f>IF(AND(N239&lt;&gt;"",O239&lt;&gt;""),ABS(N239-O239),"")</f>
        <v/>
      </c>
    </row>
    <row r="240">
      <c r="P240">
        <f>IF(AND(N240&lt;&gt;"",O240&lt;&gt;""),ABS(N240-O240),"")</f>
        <v/>
      </c>
    </row>
    <row r="241">
      <c r="P241">
        <f>IF(AND(N241&lt;&gt;"",O241&lt;&gt;""),ABS(N241-O241),"")</f>
        <v/>
      </c>
    </row>
    <row r="242">
      <c r="P242">
        <f>IF(AND(N242&lt;&gt;"",O242&lt;&gt;""),ABS(N242-O242),"")</f>
        <v/>
      </c>
    </row>
    <row r="243">
      <c r="P243">
        <f>IF(AND(N243&lt;&gt;"",O243&lt;&gt;""),ABS(N243-O243),"")</f>
        <v/>
      </c>
    </row>
    <row r="244">
      <c r="P244">
        <f>IF(AND(N244&lt;&gt;"",O244&lt;&gt;""),ABS(N244-O244),"")</f>
        <v/>
      </c>
    </row>
    <row r="245">
      <c r="P245">
        <f>IF(AND(N245&lt;&gt;"",O245&lt;&gt;""),ABS(N245-O245),"")</f>
        <v/>
      </c>
    </row>
    <row r="246">
      <c r="P246">
        <f>IF(AND(N246&lt;&gt;"",O246&lt;&gt;""),ABS(N246-O246),"")</f>
        <v/>
      </c>
    </row>
    <row r="247">
      <c r="P247">
        <f>IF(AND(N247&lt;&gt;"",O247&lt;&gt;""),ABS(N247-O247),"")</f>
        <v/>
      </c>
    </row>
    <row r="248">
      <c r="P248">
        <f>IF(AND(N248&lt;&gt;"",O248&lt;&gt;""),ABS(N248-O248),"")</f>
        <v/>
      </c>
    </row>
    <row r="249">
      <c r="P249">
        <f>IF(AND(N249&lt;&gt;"",O249&lt;&gt;""),ABS(N249-O249),"")</f>
        <v/>
      </c>
    </row>
    <row r="250">
      <c r="P250">
        <f>IF(AND(N250&lt;&gt;"",O250&lt;&gt;""),ABS(N250-O250),"")</f>
        <v/>
      </c>
    </row>
    <row r="251">
      <c r="P251">
        <f>IF(AND(N251&lt;&gt;"",O251&lt;&gt;""),ABS(N251-O251),"")</f>
        <v/>
      </c>
    </row>
    <row r="252">
      <c r="P252">
        <f>IF(AND(N252&lt;&gt;"",O252&lt;&gt;""),ABS(N252-O252),"")</f>
        <v/>
      </c>
    </row>
    <row r="253">
      <c r="P253">
        <f>IF(AND(N253&lt;&gt;"",O253&lt;&gt;""),ABS(N253-O253),"")</f>
        <v/>
      </c>
    </row>
    <row r="254">
      <c r="P254">
        <f>IF(AND(N254&lt;&gt;"",O254&lt;&gt;""),ABS(N254-O254),"")</f>
        <v/>
      </c>
    </row>
    <row r="255">
      <c r="P255">
        <f>IF(AND(N255&lt;&gt;"",O255&lt;&gt;""),ABS(N255-O255),"")</f>
        <v/>
      </c>
    </row>
    <row r="256">
      <c r="P256">
        <f>IF(AND(N256&lt;&gt;"",O256&lt;&gt;""),ABS(N256-O256),"")</f>
        <v/>
      </c>
    </row>
    <row r="257">
      <c r="P257">
        <f>IF(AND(N257&lt;&gt;"",O257&lt;&gt;""),ABS(N257-O257),"")</f>
        <v/>
      </c>
    </row>
    <row r="258">
      <c r="P258">
        <f>IF(AND(N258&lt;&gt;"",O258&lt;&gt;""),ABS(N258-O258),"")</f>
        <v/>
      </c>
    </row>
    <row r="259">
      <c r="P259">
        <f>IF(AND(N259&lt;&gt;"",O259&lt;&gt;""),ABS(N259-O259),"")</f>
        <v/>
      </c>
    </row>
    <row r="260">
      <c r="P260">
        <f>IF(AND(N260&lt;&gt;"",O260&lt;&gt;""),ABS(N260-O260),"")</f>
        <v/>
      </c>
    </row>
    <row r="261">
      <c r="P261">
        <f>IF(AND(N261&lt;&gt;"",O261&lt;&gt;""),ABS(N261-O261),"")</f>
        <v/>
      </c>
    </row>
    <row r="262">
      <c r="P262">
        <f>IF(AND(N262&lt;&gt;"",O262&lt;&gt;""),ABS(N262-O262),"")</f>
        <v/>
      </c>
    </row>
    <row r="263">
      <c r="P263">
        <f>IF(AND(N263&lt;&gt;"",O263&lt;&gt;""),ABS(N263-O263),"")</f>
        <v/>
      </c>
    </row>
    <row r="264">
      <c r="P264">
        <f>IF(AND(N264&lt;&gt;"",O264&lt;&gt;""),ABS(N264-O264),"")</f>
        <v/>
      </c>
    </row>
    <row r="265">
      <c r="P265">
        <f>IF(AND(N265&lt;&gt;"",O265&lt;&gt;""),ABS(N265-O265),"")</f>
        <v/>
      </c>
    </row>
    <row r="266">
      <c r="P266">
        <f>IF(AND(N266&lt;&gt;"",O266&lt;&gt;""),ABS(N266-O266),"")</f>
        <v/>
      </c>
    </row>
    <row r="267">
      <c r="P267">
        <f>IF(AND(N267&lt;&gt;"",O267&lt;&gt;""),ABS(N267-O267),"")</f>
        <v/>
      </c>
    </row>
    <row r="268">
      <c r="P268">
        <f>IF(AND(N268&lt;&gt;"",O268&lt;&gt;""),ABS(N268-O268),"")</f>
        <v/>
      </c>
    </row>
    <row r="269">
      <c r="P269">
        <f>IF(AND(N269&lt;&gt;"",O269&lt;&gt;""),ABS(N269-O269),"")</f>
        <v/>
      </c>
    </row>
    <row r="270">
      <c r="P270">
        <f>IF(AND(N270&lt;&gt;"",O270&lt;&gt;""),ABS(N270-O270),"")</f>
        <v/>
      </c>
    </row>
    <row r="271">
      <c r="P271">
        <f>IF(AND(N271&lt;&gt;"",O271&lt;&gt;""),ABS(N271-O271),"")</f>
        <v/>
      </c>
    </row>
    <row r="272">
      <c r="P272">
        <f>IF(AND(N272&lt;&gt;"",O272&lt;&gt;""),ABS(N272-O272),"")</f>
        <v/>
      </c>
    </row>
    <row r="273">
      <c r="P273">
        <f>IF(AND(N273&lt;&gt;"",O273&lt;&gt;""),ABS(N273-O273),"")</f>
        <v/>
      </c>
    </row>
    <row r="274">
      <c r="P274">
        <f>IF(AND(N274&lt;&gt;"",O274&lt;&gt;""),ABS(N274-O274),"")</f>
        <v/>
      </c>
    </row>
    <row r="275">
      <c r="P275">
        <f>IF(AND(N275&lt;&gt;"",O275&lt;&gt;""),ABS(N275-O275),"")</f>
        <v/>
      </c>
    </row>
    <row r="276">
      <c r="P276">
        <f>IF(AND(N276&lt;&gt;"",O276&lt;&gt;""),ABS(N276-O276),"")</f>
        <v/>
      </c>
    </row>
    <row r="277">
      <c r="P277">
        <f>IF(AND(N277&lt;&gt;"",O277&lt;&gt;""),ABS(N277-O277),"")</f>
        <v/>
      </c>
    </row>
    <row r="278">
      <c r="P278">
        <f>IF(AND(N278&lt;&gt;"",O278&lt;&gt;""),ABS(N278-O278),"")</f>
        <v/>
      </c>
    </row>
    <row r="279">
      <c r="P279">
        <f>IF(AND(N279&lt;&gt;"",O279&lt;&gt;""),ABS(N279-O279),"")</f>
        <v/>
      </c>
    </row>
    <row r="280">
      <c r="P280">
        <f>IF(AND(N280&lt;&gt;"",O280&lt;&gt;""),ABS(N280-O280),"")</f>
        <v/>
      </c>
    </row>
    <row r="281">
      <c r="P281">
        <f>IF(AND(N281&lt;&gt;"",O281&lt;&gt;""),ABS(N281-O281),"")</f>
        <v/>
      </c>
    </row>
    <row r="282">
      <c r="P282">
        <f>IF(AND(N282&lt;&gt;"",O282&lt;&gt;""),ABS(N282-O282),"")</f>
        <v/>
      </c>
    </row>
    <row r="283">
      <c r="P283">
        <f>IF(AND(N283&lt;&gt;"",O283&lt;&gt;""),ABS(N283-O283),"")</f>
        <v/>
      </c>
    </row>
    <row r="284">
      <c r="P284">
        <f>IF(AND(N284&lt;&gt;"",O284&lt;&gt;""),ABS(N284-O284),"")</f>
        <v/>
      </c>
    </row>
    <row r="285">
      <c r="P285">
        <f>IF(AND(N285&lt;&gt;"",O285&lt;&gt;""),ABS(N285-O285),"")</f>
        <v/>
      </c>
    </row>
    <row r="286">
      <c r="P286">
        <f>IF(AND(N286&lt;&gt;"",O286&lt;&gt;""),ABS(N286-O286),"")</f>
        <v/>
      </c>
    </row>
    <row r="287">
      <c r="P287">
        <f>IF(AND(N287&lt;&gt;"",O287&lt;&gt;""),ABS(N287-O287),"")</f>
        <v/>
      </c>
    </row>
    <row r="288">
      <c r="P288">
        <f>IF(AND(N288&lt;&gt;"",O288&lt;&gt;""),ABS(N288-O288),"")</f>
        <v/>
      </c>
    </row>
    <row r="289">
      <c r="P289">
        <f>IF(AND(N289&lt;&gt;"",O289&lt;&gt;""),ABS(N289-O289),"")</f>
        <v/>
      </c>
    </row>
    <row r="290">
      <c r="P290">
        <f>IF(AND(N290&lt;&gt;"",O290&lt;&gt;""),ABS(N290-O290),"")</f>
        <v/>
      </c>
    </row>
    <row r="291">
      <c r="P291">
        <f>IF(AND(N291&lt;&gt;"",O291&lt;&gt;""),ABS(N291-O291),"")</f>
        <v/>
      </c>
    </row>
    <row r="292">
      <c r="P292">
        <f>IF(AND(N292&lt;&gt;"",O292&lt;&gt;""),ABS(N292-O292),"")</f>
        <v/>
      </c>
    </row>
    <row r="293">
      <c r="P293">
        <f>IF(AND(N293&lt;&gt;"",O293&lt;&gt;""),ABS(N293-O293),"")</f>
        <v/>
      </c>
    </row>
    <row r="294">
      <c r="P294">
        <f>IF(AND(N294&lt;&gt;"",O294&lt;&gt;""),ABS(N294-O294),"")</f>
        <v/>
      </c>
    </row>
    <row r="295">
      <c r="P295">
        <f>IF(AND(N295&lt;&gt;"",O295&lt;&gt;""),ABS(N295-O295),"")</f>
        <v/>
      </c>
    </row>
    <row r="296">
      <c r="P296">
        <f>IF(AND(N296&lt;&gt;"",O296&lt;&gt;""),ABS(N296-O296),"")</f>
        <v/>
      </c>
    </row>
    <row r="297">
      <c r="P297">
        <f>IF(AND(N297&lt;&gt;"",O297&lt;&gt;""),ABS(N297-O297),"")</f>
        <v/>
      </c>
    </row>
    <row r="298">
      <c r="P298">
        <f>IF(AND(N298&lt;&gt;"",O298&lt;&gt;""),ABS(N298-O298),"")</f>
        <v/>
      </c>
    </row>
    <row r="299">
      <c r="P299">
        <f>IF(AND(N299&lt;&gt;"",O299&lt;&gt;""),ABS(N299-O299),"")</f>
        <v/>
      </c>
    </row>
    <row r="300">
      <c r="P300">
        <f>IF(AND(N300&lt;&gt;"",O300&lt;&gt;""),ABS(N300-O300),"")</f>
        <v/>
      </c>
    </row>
  </sheetData>
  <dataValidations count="3">
    <dataValidation sqref="D3:D300" showDropDown="0" showInputMessage="0" showErrorMessage="0" allowBlank="1" type="list">
      <formula1>"AR,FR,EN"</formula1>
    </dataValidation>
    <dataValidation sqref="E3:E300" showDropDown="0" showInputMessage="0" showErrorMessage="0" allowBlank="1" type="list">
      <formula1>"Consecutif,Simultane,Traduction a vue"</formula1>
    </dataValidation>
    <dataValidation sqref="Q3:Q300" showDropDown="0" showInputMessage="0" showErrorMessage="0" allowBlank="1" type="list">
      <formula1>"OK,Bug,A revoir"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Detection d'evenements — vs annotation humaine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</row>
    <row r="3">
      <c r="A3" s="10" t="inlineStr">
        <is>
          <t>T001</t>
        </is>
      </c>
      <c r="B3" s="10" t="inlineStr">
        <is>
          <t>FR</t>
        </is>
      </c>
      <c r="C3" s="10" t="inlineStr">
        <is>
          <t>Hesitations</t>
        </is>
      </c>
      <c r="D3" s="10" t="n">
        <v>5</v>
      </c>
      <c r="E3" s="10" t="n">
        <v>4</v>
      </c>
      <c r="F3" s="10" t="n">
        <v>4</v>
      </c>
      <c r="G3" s="10" t="n">
        <v>0</v>
      </c>
      <c r="H3" s="10" t="n">
        <v>1</v>
      </c>
      <c r="I3" s="12">
        <f>IF((F3+G3)&gt;0,F3/(F3+G3),"")</f>
        <v/>
      </c>
      <c r="J3" s="12">
        <f>IF((F3+H3)&gt;0,F3/(F3+H3),"")</f>
        <v/>
      </c>
      <c r="K3" s="12">
        <f>IF(AND(ISNUMBER(I3),ISNUMBER(J3),(I3+J3)&gt;0),2*I3*J3/(I3+J3),"")</f>
        <v/>
      </c>
    </row>
    <row r="4">
      <c r="A4" s="10" t="inlineStr">
        <is>
          <t>T001</t>
        </is>
      </c>
      <c r="B4" s="10" t="inlineStr">
        <is>
          <t>FR</t>
        </is>
      </c>
      <c r="C4" s="10" t="inlineStr">
        <is>
          <t>Silences</t>
        </is>
      </c>
      <c r="D4" s="10" t="n">
        <v>3</v>
      </c>
      <c r="E4" s="10" t="n">
        <v>3</v>
      </c>
      <c r="F4" s="10" t="n">
        <v>3</v>
      </c>
      <c r="G4" s="10" t="n">
        <v>0</v>
      </c>
      <c r="H4" s="10" t="n">
        <v>0</v>
      </c>
      <c r="I4" s="12">
        <f>IF((F4+G4)&gt;0,F4/(F4+G4),"")</f>
        <v/>
      </c>
      <c r="J4" s="12">
        <f>IF((F4+H4)&gt;0,F4/(F4+H4),"")</f>
        <v/>
      </c>
      <c r="K4" s="12">
        <f>IF(AND(ISNUMBER(I4),ISNUMBER(J4),(I4+J4)&gt;0),2*I4*J4/(I4+J4),"")</f>
        <v/>
      </c>
    </row>
    <row r="5">
      <c r="A5" s="10" t="inlineStr">
        <is>
          <t>T002</t>
        </is>
      </c>
      <c r="B5" s="10" t="inlineStr">
        <is>
          <t>AR</t>
        </is>
      </c>
      <c r="C5" s="10" t="inlineStr">
        <is>
          <t>Erreurs de chiffres</t>
        </is>
      </c>
      <c r="D5" s="10" t="n">
        <v>4</v>
      </c>
      <c r="E5" s="10" t="n">
        <v>5</v>
      </c>
      <c r="F5" s="10" t="n">
        <v>3</v>
      </c>
      <c r="G5" s="10" t="n">
        <v>2</v>
      </c>
      <c r="H5" s="10" t="n">
        <v>1</v>
      </c>
      <c r="I5" s="12">
        <f>IF((F5+G5)&gt;0,F5/(F5+G5),"")</f>
        <v/>
      </c>
      <c r="J5" s="12">
        <f>IF((F5+H5)&gt;0,F5/(F5+H5),"")</f>
        <v/>
      </c>
      <c r="K5" s="12">
        <f>IF(AND(ISNUMBER(I5),ISNUMBER(J5),(I5+J5)&gt;0),2*I5*J5/(I5+J5),"")</f>
        <v/>
      </c>
    </row>
    <row r="6">
      <c r="A6" s="10" t="inlineStr">
        <is>
          <t>T002</t>
        </is>
      </c>
      <c r="B6" s="10" t="inlineStr">
        <is>
          <t>AR</t>
        </is>
      </c>
      <c r="C6" s="10" t="inlineStr">
        <is>
          <t>Terminologie</t>
        </is>
      </c>
      <c r="D6" s="10" t="n">
        <v>6</v>
      </c>
      <c r="E6" s="10" t="n">
        <v>4</v>
      </c>
      <c r="F6" s="10" t="n">
        <v>4</v>
      </c>
      <c r="G6" s="10" t="n">
        <v>0</v>
      </c>
      <c r="H6" s="10" t="n">
        <v>2</v>
      </c>
      <c r="I6" s="12">
        <f>IF((F6+G6)&gt;0,F6/(F6+G6),"")</f>
        <v/>
      </c>
      <c r="J6" s="12">
        <f>IF((F6+H6)&gt;0,F6/(F6+H6),"")</f>
        <v/>
      </c>
      <c r="K6" s="12">
        <f>IF(AND(ISNUMBER(I6),ISNUMBER(J6),(I6+J6)&gt;0),2*I6*J6/(I6+J6),"")</f>
        <v/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2">
        <f>IF((F7+G7)&gt;0,F7/(F7+G7),"")</f>
        <v/>
      </c>
      <c r="J7" s="12">
        <f>IF((F7+H7)&gt;0,F7/(F7+H7),"")</f>
        <v/>
      </c>
      <c r="K7" s="12">
        <f>IF(AND(ISNUMBER(I7),ISNUMBER(J7),(I7+J7)&gt;0),2*I7*J7/(I7+J7),"")</f>
        <v/>
      </c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2">
        <f>IF((F8+G8)&gt;0,F8/(F8+G8),"")</f>
        <v/>
      </c>
      <c r="J8" s="12">
        <f>IF((F8+H8)&gt;0,F8/(F8+H8),"")</f>
        <v/>
      </c>
      <c r="K8" s="12">
        <f>IF(AND(ISNUMBER(I8),ISNUMBER(J8),(I8+J8)&gt;0),2*I8*J8/(I8+J8),"")</f>
        <v/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2">
        <f>IF((F9+G9)&gt;0,F9/(F9+G9),"")</f>
        <v/>
      </c>
      <c r="J9" s="12">
        <f>IF((F9+H9)&gt;0,F9/(F9+H9),"")</f>
        <v/>
      </c>
      <c r="K9" s="12">
        <f>IF(AND(ISNUMBER(I9),ISNUMBER(J9),(I9+J9)&gt;0),2*I9*J9/(I9+J9),"")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2">
        <f>IF((F10+G10)&gt;0,F10/(F10+G10),"")</f>
        <v/>
      </c>
      <c r="J10" s="12">
        <f>IF((F10+H10)&gt;0,F10/(F10+H10),"")</f>
        <v/>
      </c>
      <c r="K10" s="12">
        <f>IF(AND(ISNUMBER(I10),ISNUMBER(J10),(I10+J10)&gt;0),2*I10*J10/(I10+J10),"")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2">
        <f>IF((F11+G11)&gt;0,F11/(F11+G11),"")</f>
        <v/>
      </c>
      <c r="J11" s="12">
        <f>IF((F11+H11)&gt;0,F11/(F11+H11),"")</f>
        <v/>
      </c>
      <c r="K11" s="12">
        <f>IF(AND(ISNUMBER(I11),ISNUMBER(J11),(I11+J11)&gt;0),2*I11*J11/(I11+J11),"")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2">
        <f>IF((F12+G12)&gt;0,F12/(F12+G12),"")</f>
        <v/>
      </c>
      <c r="J12" s="12">
        <f>IF((F12+H12)&gt;0,F12/(F12+H12),"")</f>
        <v/>
      </c>
      <c r="K12" s="12">
        <f>IF(AND(ISNUMBER(I12),ISNUMBER(J12),(I12+J12)&gt;0),2*I12*J12/(I12+J12),"")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2">
        <f>IF((F13+G13)&gt;0,F13/(F13+G13),"")</f>
        <v/>
      </c>
      <c r="J13" s="12">
        <f>IF((F13+H13)&gt;0,F13/(F13+H13),"")</f>
        <v/>
      </c>
      <c r="K13" s="12">
        <f>IF(AND(ISNUMBER(I13),ISNUMBER(J13),(I13+J13)&gt;0),2*I13*J13/(I13+J13),"")</f>
        <v/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2">
        <f>IF((F14+G14)&gt;0,F14/(F14+G14),"")</f>
        <v/>
      </c>
      <c r="J14" s="12">
        <f>IF((F14+H14)&gt;0,F14/(F14+H14),"")</f>
        <v/>
      </c>
      <c r="K14" s="12">
        <f>IF(AND(ISNUMBER(I14),ISNUMBER(J14),(I14+J14)&gt;0),2*I14*J14/(I14+J14),"")</f>
        <v/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2">
        <f>IF((F15+G15)&gt;0,F15/(F15+G15),"")</f>
        <v/>
      </c>
      <c r="J15" s="12">
        <f>IF((F15+H15)&gt;0,F15/(F15+H15),"")</f>
        <v/>
      </c>
      <c r="K15" s="12">
        <f>IF(AND(ISNUMBER(I15),ISNUMBER(J15),(I15+J15)&gt;0),2*I15*J15/(I15+J15),"")</f>
        <v/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2">
        <f>IF((F16+G16)&gt;0,F16/(F16+G16),"")</f>
        <v/>
      </c>
      <c r="J16" s="12">
        <f>IF((F16+H16)&gt;0,F16/(F16+H16),"")</f>
        <v/>
      </c>
      <c r="K16" s="12">
        <f>IF(AND(ISNUMBER(I16),ISNUMBER(J16),(I16+J16)&gt;0),2*I16*J16/(I16+J16),"")</f>
        <v/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2">
        <f>IF((F17+G17)&gt;0,F17/(F17+G17),"")</f>
        <v/>
      </c>
      <c r="J17" s="12">
        <f>IF((F17+H17)&gt;0,F17/(F17+H17),"")</f>
        <v/>
      </c>
      <c r="K17" s="12">
        <f>IF(AND(ISNUMBER(I17),ISNUMBER(J17),(I17+J17)&gt;0),2*I17*J17/(I17+J17),"")</f>
        <v/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2">
        <f>IF((F18+G18)&gt;0,F18/(F18+G18),"")</f>
        <v/>
      </c>
      <c r="J18" s="12">
        <f>IF((F18+H18)&gt;0,F18/(F18+H18),"")</f>
        <v/>
      </c>
      <c r="K18" s="12">
        <f>IF(AND(ISNUMBER(I18),ISNUMBER(J18),(I18+J18)&gt;0),2*I18*J18/(I18+J18),"")</f>
        <v/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2">
        <f>IF((F19+G19)&gt;0,F19/(F19+G19),"")</f>
        <v/>
      </c>
      <c r="J19" s="12">
        <f>IF((F19+H19)&gt;0,F19/(F19+H19),"")</f>
        <v/>
      </c>
      <c r="K19" s="12">
        <f>IF(AND(ISNUMBER(I19),ISNUMBER(J19),(I19+J19)&gt;0),2*I19*J19/(I19+J19),"")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2">
        <f>IF((F20+G20)&gt;0,F20/(F20+G20),"")</f>
        <v/>
      </c>
      <c r="J20" s="12">
        <f>IF((F20+H20)&gt;0,F20/(F20+H20),"")</f>
        <v/>
      </c>
      <c r="K20" s="12">
        <f>IF(AND(ISNUMBER(I20),ISNUMBER(J20),(I20+J20)&gt;0),2*I20*J20/(I20+J20),"")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2">
        <f>IF((F21+G21)&gt;0,F21/(F21+G21),"")</f>
        <v/>
      </c>
      <c r="J21" s="12">
        <f>IF((F21+H21)&gt;0,F21/(F21+H21),"")</f>
        <v/>
      </c>
      <c r="K21" s="12">
        <f>IF(AND(ISNUMBER(I21),ISNUMBER(J21),(I21+J21)&gt;0),2*I21*J21/(I21+J21),"")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2">
        <f>IF((F22+G22)&gt;0,F22/(F22+G22),"")</f>
        <v/>
      </c>
      <c r="J22" s="12">
        <f>IF((F22+H22)&gt;0,F22/(F22+H22),"")</f>
        <v/>
      </c>
      <c r="K22" s="12">
        <f>IF(AND(ISNUMBER(I22),ISNUMBER(J22),(I22+J22)&gt;0),2*I22*J22/(I22+J22),"")</f>
        <v/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2">
        <f>IF((F23+G23)&gt;0,F23/(F23+G23),"")</f>
        <v/>
      </c>
      <c r="J23" s="12">
        <f>IF((F23+H23)&gt;0,F23/(F23+H23),"")</f>
        <v/>
      </c>
      <c r="K23" s="12">
        <f>IF(AND(ISNUMBER(I23),ISNUMBER(J23),(I23+J23)&gt;0),2*I23*J23/(I23+J23),"")</f>
        <v/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2">
        <f>IF((F24+G24)&gt;0,F24/(F24+G24),"")</f>
        <v/>
      </c>
      <c r="J24" s="12">
        <f>IF((F24+H24)&gt;0,F24/(F24+H24),"")</f>
        <v/>
      </c>
      <c r="K24" s="12">
        <f>IF(AND(ISNUMBER(I24),ISNUMBER(J24),(I24+J24)&gt;0),2*I24*J24/(I24+J24),"")</f>
        <v/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2">
        <f>IF((F25+G25)&gt;0,F25/(F25+G25),"")</f>
        <v/>
      </c>
      <c r="J25" s="12">
        <f>IF((F25+H25)&gt;0,F25/(F25+H25),"")</f>
        <v/>
      </c>
      <c r="K25" s="12">
        <f>IF(AND(ISNUMBER(I25),ISNUMBER(J25),(I25+J25)&gt;0),2*I25*J25/(I25+J25),"")</f>
        <v/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2">
        <f>IF((F26+G26)&gt;0,F26/(F26+G26),"")</f>
        <v/>
      </c>
      <c r="J26" s="12">
        <f>IF((F26+H26)&gt;0,F26/(F26+H26),"")</f>
        <v/>
      </c>
      <c r="K26" s="12">
        <f>IF(AND(ISNUMBER(I26),ISNUMBER(J26),(I26+J26)&gt;0),2*I26*J26/(I26+J26),"")</f>
        <v/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2">
        <f>IF((F27+G27)&gt;0,F27/(F27+G27),"")</f>
        <v/>
      </c>
      <c r="J27" s="12">
        <f>IF((F27+H27)&gt;0,F27/(F27+H27),"")</f>
        <v/>
      </c>
      <c r="K27" s="12">
        <f>IF(AND(ISNUMBER(I27),ISNUMBER(J27),(I27+J27)&gt;0),2*I27*J27/(I27+J27),"")</f>
        <v/>
      </c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2">
        <f>IF((F28+G28)&gt;0,F28/(F28+G28),"")</f>
        <v/>
      </c>
      <c r="J28" s="12">
        <f>IF((F28+H28)&gt;0,F28/(F28+H28),"")</f>
        <v/>
      </c>
      <c r="K28" s="12">
        <f>IF(AND(ISNUMBER(I28),ISNUMBER(J28),(I28+J28)&gt;0),2*I28*J28/(I28+J28),"")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2">
        <f>IF((F29+G29)&gt;0,F29/(F29+G29),"")</f>
        <v/>
      </c>
      <c r="J29" s="12">
        <f>IF((F29+H29)&gt;0,F29/(F29+H29),"")</f>
        <v/>
      </c>
      <c r="K29" s="12">
        <f>IF(AND(ISNUMBER(I29),ISNUMBER(J29),(I29+J29)&gt;0),2*I29*J29/(I29+J29),"")</f>
        <v/>
      </c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2">
        <f>IF((F30+G30)&gt;0,F30/(F30+G30),"")</f>
        <v/>
      </c>
      <c r="J30" s="12">
        <f>IF((F30+H30)&gt;0,F30/(F30+H30),"")</f>
        <v/>
      </c>
      <c r="K30" s="12">
        <f>IF(AND(ISNUMBER(I30),ISNUMBER(J30),(I30+J30)&gt;0),2*I30*J30/(I30+J30),"")</f>
        <v/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2">
        <f>IF((F31+G31)&gt;0,F31/(F31+G31),"")</f>
        <v/>
      </c>
      <c r="J31" s="12">
        <f>IF((F31+H31)&gt;0,F31/(F31+H31),"")</f>
        <v/>
      </c>
      <c r="K31" s="12">
        <f>IF(AND(ISNUMBER(I31),ISNUMBER(J31),(I31+J31)&gt;0),2*I31*J31/(I31+J31),"")</f>
        <v/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2">
        <f>IF((F32+G32)&gt;0,F32/(F32+G32),"")</f>
        <v/>
      </c>
      <c r="J32" s="12">
        <f>IF((F32+H32)&gt;0,F32/(F32+H32),"")</f>
        <v/>
      </c>
      <c r="K32" s="12">
        <f>IF(AND(ISNUMBER(I32),ISNUMBER(J32),(I32+J32)&gt;0),2*I32*J32/(I32+J32),"")</f>
        <v/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2">
        <f>IF((F33+G33)&gt;0,F33/(F33+G33),"")</f>
        <v/>
      </c>
      <c r="J33" s="12">
        <f>IF((F33+H33)&gt;0,F33/(F33+H33),"")</f>
        <v/>
      </c>
      <c r="K33" s="12">
        <f>IF(AND(ISNUMBER(I33),ISNUMBER(J33),(I33+J33)&gt;0),2*I33*J33/(I33+J33),"")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2">
        <f>IF((F34+G34)&gt;0,F34/(F34+G34),"")</f>
        <v/>
      </c>
      <c r="J34" s="12">
        <f>IF((F34+H34)&gt;0,F34/(F34+H34),"")</f>
        <v/>
      </c>
      <c r="K34" s="12">
        <f>IF(AND(ISNUMBER(I34),ISNUMBER(J34),(I34+J34)&gt;0),2*I34*J34/(I34+J34),"")</f>
        <v/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2">
        <f>IF((F35+G35)&gt;0,F35/(F35+G35),"")</f>
        <v/>
      </c>
      <c r="J35" s="12">
        <f>IF((F35+H35)&gt;0,F35/(F35+H35),"")</f>
        <v/>
      </c>
      <c r="K35" s="12">
        <f>IF(AND(ISNUMBER(I35),ISNUMBER(J35),(I35+J35)&gt;0),2*I35*J35/(I35+J35),"")</f>
        <v/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2">
        <f>IF((F36+G36)&gt;0,F36/(F36+G36),"")</f>
        <v/>
      </c>
      <c r="J36" s="12">
        <f>IF((F36+H36)&gt;0,F36/(F36+H36),"")</f>
        <v/>
      </c>
      <c r="K36" s="12">
        <f>IF(AND(ISNUMBER(I36),ISNUMBER(J36),(I36+J36)&gt;0),2*I36*J36/(I36+J36),"")</f>
        <v/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2">
        <f>IF((F37+G37)&gt;0,F37/(F37+G37),"")</f>
        <v/>
      </c>
      <c r="J37" s="12">
        <f>IF((F37+H37)&gt;0,F37/(F37+H37),"")</f>
        <v/>
      </c>
      <c r="K37" s="12">
        <f>IF(AND(ISNUMBER(I37),ISNUMBER(J37),(I37+J37)&gt;0),2*I37*J37/(I37+J37),"")</f>
        <v/>
      </c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2">
        <f>IF((F38+G38)&gt;0,F38/(F38+G38),"")</f>
        <v/>
      </c>
      <c r="J38" s="12">
        <f>IF((F38+H38)&gt;0,F38/(F38+H38),"")</f>
        <v/>
      </c>
      <c r="K38" s="12">
        <f>IF(AND(ISNUMBER(I38),ISNUMBER(J38),(I38+J38)&gt;0),2*I38*J38/(I38+J38),"")</f>
        <v/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2">
        <f>IF((F39+G39)&gt;0,F39/(F39+G39),"")</f>
        <v/>
      </c>
      <c r="J39" s="12">
        <f>IF((F39+H39)&gt;0,F39/(F39+H39),"")</f>
        <v/>
      </c>
      <c r="K39" s="12">
        <f>IF(AND(ISNUMBER(I39),ISNUMBER(J39),(I39+J39)&gt;0),2*I39*J39/(I39+J39),"")</f>
        <v/>
      </c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2">
        <f>IF((F40+G40)&gt;0,F40/(F40+G40),"")</f>
        <v/>
      </c>
      <c r="J40" s="12">
        <f>IF((F40+H40)&gt;0,F40/(F40+H40),"")</f>
        <v/>
      </c>
      <c r="K40" s="12">
        <f>IF(AND(ISNUMBER(I40),ISNUMBER(J40),(I40+J40)&gt;0),2*I40*J40/(I40+J40),"")</f>
        <v/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2">
        <f>IF((F41+G41)&gt;0,F41/(F41+G41),"")</f>
        <v/>
      </c>
      <c r="J41" s="12">
        <f>IF((F41+H41)&gt;0,F41/(F41+H41),"")</f>
        <v/>
      </c>
      <c r="K41" s="12">
        <f>IF(AND(ISNUMBER(I41),ISNUMBER(J41),(I41+J41)&gt;0),2*I41*J41/(I41+J41),"")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2">
        <f>IF((F42+G42)&gt;0,F42/(F42+G42),"")</f>
        <v/>
      </c>
      <c r="J42" s="12">
        <f>IF((F42+H42)&gt;0,F42/(F42+H42),"")</f>
        <v/>
      </c>
      <c r="K42" s="12">
        <f>IF(AND(ISNUMBER(I42),ISNUMBER(J42),(I42+J42)&gt;0),2*I42*J42/(I42+J42),"")</f>
        <v/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2">
        <f>IF((F43+G43)&gt;0,F43/(F43+G43),"")</f>
        <v/>
      </c>
      <c r="J43" s="12">
        <f>IF((F43+H43)&gt;0,F43/(F43+H43),"")</f>
        <v/>
      </c>
      <c r="K43" s="12">
        <f>IF(AND(ISNUMBER(I43),ISNUMBER(J43),(I43+J43)&gt;0),2*I43*J43/(I43+J43),"")</f>
        <v/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2">
        <f>IF((F44+G44)&gt;0,F44/(F44+G44),"")</f>
        <v/>
      </c>
      <c r="J44" s="12">
        <f>IF((F44+H44)&gt;0,F44/(F44+H44),"")</f>
        <v/>
      </c>
      <c r="K44" s="12">
        <f>IF(AND(ISNUMBER(I44),ISNUMBER(J44),(I44+J44)&gt;0),2*I44*J44/(I44+J44),"")</f>
        <v/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2">
        <f>IF((F45+G45)&gt;0,F45/(F45+G45),"")</f>
        <v/>
      </c>
      <c r="J45" s="12">
        <f>IF((F45+H45)&gt;0,F45/(F45+H45),"")</f>
        <v/>
      </c>
      <c r="K45" s="12">
        <f>IF(AND(ISNUMBER(I45),ISNUMBER(J45),(I45+J45)&gt;0),2*I45*J45/(I45+J45),"")</f>
        <v/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2">
        <f>IF((F46+G46)&gt;0,F46/(F46+G46),"")</f>
        <v/>
      </c>
      <c r="J46" s="12">
        <f>IF((F46+H46)&gt;0,F46/(F46+H46),"")</f>
        <v/>
      </c>
      <c r="K46" s="12">
        <f>IF(AND(ISNUMBER(I46),ISNUMBER(J46),(I46+J46)&gt;0),2*I46*J46/(I46+J46),"")</f>
        <v/>
      </c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2">
        <f>IF((F47+G47)&gt;0,F47/(F47+G47),"")</f>
        <v/>
      </c>
      <c r="J47" s="12">
        <f>IF((F47+H47)&gt;0,F47/(F47+H47),"")</f>
        <v/>
      </c>
      <c r="K47" s="12">
        <f>IF(AND(ISNUMBER(I47),ISNUMBER(J47),(I47+J47)&gt;0),2*I47*J47/(I47+J47),"")</f>
        <v/>
      </c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2">
        <f>IF((F48+G48)&gt;0,F48/(F48+G48),"")</f>
        <v/>
      </c>
      <c r="J48" s="12">
        <f>IF((F48+H48)&gt;0,F48/(F48+H48),"")</f>
        <v/>
      </c>
      <c r="K48" s="12">
        <f>IF(AND(ISNUMBER(I48),ISNUMBER(J48),(I48+J48)&gt;0),2*I48*J48/(I48+J48),"")</f>
        <v/>
      </c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2">
        <f>IF((F49+G49)&gt;0,F49/(F49+G49),"")</f>
        <v/>
      </c>
      <c r="J49" s="12">
        <f>IF((F49+H49)&gt;0,F49/(F49+H49),"")</f>
        <v/>
      </c>
      <c r="K49" s="12">
        <f>IF(AND(ISNUMBER(I49),ISNUMBER(J49),(I49+J49)&gt;0),2*I49*J49/(I49+J49),"")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2">
        <f>IF((F50+G50)&gt;0,F50/(F50+G50),"")</f>
        <v/>
      </c>
      <c r="J50" s="12">
        <f>IF((F50+H50)&gt;0,F50/(F50+H50),"")</f>
        <v/>
      </c>
      <c r="K50" s="12">
        <f>IF(AND(ISNUMBER(I50),ISNUMBER(J50),(I50+J50)&gt;0),2*I50*J50/(I50+J50),"")</f>
        <v/>
      </c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2">
        <f>IF((F51+G51)&gt;0,F51/(F51+G51),"")</f>
        <v/>
      </c>
      <c r="J51" s="12">
        <f>IF((F51+H51)&gt;0,F51/(F51+H51),"")</f>
        <v/>
      </c>
      <c r="K51" s="12">
        <f>IF(AND(ISNUMBER(I51),ISNUMBER(J51),(I51+J51)&gt;0),2*I51*J51/(I51+J51),"")</f>
        <v/>
      </c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2">
        <f>IF((F52+G52)&gt;0,F52/(F52+G52),"")</f>
        <v/>
      </c>
      <c r="J52" s="12">
        <f>IF((F52+H52)&gt;0,F52/(F52+H52),"")</f>
        <v/>
      </c>
      <c r="K52" s="12">
        <f>IF(AND(ISNUMBER(I52),ISNUMBER(J52),(I52+J52)&gt;0),2*I52*J52/(I52+J52),"")</f>
        <v/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2">
        <f>IF((F53+G53)&gt;0,F53/(F53+G53),"")</f>
        <v/>
      </c>
      <c r="J53" s="12">
        <f>IF((F53+H53)&gt;0,F53/(F53+H53),"")</f>
        <v/>
      </c>
      <c r="K53" s="12">
        <f>IF(AND(ISNUMBER(I53),ISNUMBER(J53),(I53+J53)&gt;0),2*I53*J53/(I53+J53),"")</f>
        <v/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2">
        <f>IF((F54+G54)&gt;0,F54/(F54+G54),"")</f>
        <v/>
      </c>
      <c r="J54" s="12">
        <f>IF((F54+H54)&gt;0,F54/(F54+H54),"")</f>
        <v/>
      </c>
      <c r="K54" s="12">
        <f>IF(AND(ISNUMBER(I54),ISNUMBER(J54),(I54+J54)&gt;0),2*I54*J54/(I54+J54),"")</f>
        <v/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2">
        <f>IF((F55+G55)&gt;0,F55/(F55+G55),"")</f>
        <v/>
      </c>
      <c r="J55" s="12">
        <f>IF((F55+H55)&gt;0,F55/(F55+H55),"")</f>
        <v/>
      </c>
      <c r="K55" s="12">
        <f>IF(AND(ISNUMBER(I55),ISNUMBER(J55),(I55+J55)&gt;0),2*I55*J55/(I55+J55),"")</f>
        <v/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2">
        <f>IF((F56+G56)&gt;0,F56/(F56+G56),"")</f>
        <v/>
      </c>
      <c r="J56" s="12">
        <f>IF((F56+H56)&gt;0,F56/(F56+H56),"")</f>
        <v/>
      </c>
      <c r="K56" s="12">
        <f>IF(AND(ISNUMBER(I56),ISNUMBER(J56),(I56+J56)&gt;0),2*I56*J56/(I56+J56),"")</f>
        <v/>
      </c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2">
        <f>IF((F57+G57)&gt;0,F57/(F57+G57),"")</f>
        <v/>
      </c>
      <c r="J57" s="12">
        <f>IF((F57+H57)&gt;0,F57/(F57+H57),"")</f>
        <v/>
      </c>
      <c r="K57" s="12">
        <f>IF(AND(ISNUMBER(I57),ISNUMBER(J57),(I57+J57)&gt;0),2*I57*J57/(I57+J57),"")</f>
        <v/>
      </c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2">
        <f>IF((F58+G58)&gt;0,F58/(F58+G58),"")</f>
        <v/>
      </c>
      <c r="J58" s="12">
        <f>IF((F58+H58)&gt;0,F58/(F58+H58),"")</f>
        <v/>
      </c>
      <c r="K58" s="12">
        <f>IF(AND(ISNUMBER(I58),ISNUMBER(J58),(I58+J58)&gt;0),2*I58*J58/(I58+J58),"")</f>
        <v/>
      </c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2">
        <f>IF((F59+G59)&gt;0,F59/(F59+G59),"")</f>
        <v/>
      </c>
      <c r="J59" s="12">
        <f>IF((F59+H59)&gt;0,F59/(F59+H59),"")</f>
        <v/>
      </c>
      <c r="K59" s="12">
        <f>IF(AND(ISNUMBER(I59),ISNUMBER(J59),(I59+J59)&gt;0),2*I59*J59/(I59+J59),"")</f>
        <v/>
      </c>
    </row>
    <row r="60">
      <c r="I60" s="13">
        <f>IF((F60+G60)&gt;0,F60/(F60+G60),"")</f>
        <v/>
      </c>
      <c r="J60" s="13">
        <f>IF((F60+H60)&gt;0,F60/(F60+H60),"")</f>
        <v/>
      </c>
      <c r="K60" s="13">
        <f>IF(AND(ISNUMBER(I60),ISNUMBER(J60),(I60+J60)&gt;0),2*I60*J60/(I60+J60),"")</f>
        <v/>
      </c>
    </row>
    <row r="61">
      <c r="I61" s="13">
        <f>IF((F61+G61)&gt;0,F61/(F61+G61),"")</f>
        <v/>
      </c>
      <c r="J61" s="13">
        <f>IF((F61+H61)&gt;0,F61/(F61+H61),"")</f>
        <v/>
      </c>
      <c r="K61" s="13">
        <f>IF(AND(ISNUMBER(I61),ISNUMBER(J61),(I61+J61)&gt;0),2*I61*J61/(I61+J61),"")</f>
        <v/>
      </c>
    </row>
    <row r="62">
      <c r="I62" s="13">
        <f>IF((F62+G62)&gt;0,F62/(F62+G62),"")</f>
        <v/>
      </c>
      <c r="J62" s="13">
        <f>IF((F62+H62)&gt;0,F62/(F62+H62),"")</f>
        <v/>
      </c>
      <c r="K62" s="13">
        <f>IF(AND(ISNUMBER(I62),ISNUMBER(J62),(I62+J62)&gt;0),2*I62*J62/(I62+J62),"")</f>
        <v/>
      </c>
    </row>
    <row r="63">
      <c r="I63" s="13">
        <f>IF((F63+G63)&gt;0,F63/(F63+G63),"")</f>
        <v/>
      </c>
      <c r="J63" s="13">
        <f>IF((F63+H63)&gt;0,F63/(F63+H63),"")</f>
        <v/>
      </c>
      <c r="K63" s="13">
        <f>IF(AND(ISNUMBER(I63),ISNUMBER(J63),(I63+J63)&gt;0),2*I63*J63/(I63+J63),"")</f>
        <v/>
      </c>
    </row>
    <row r="64">
      <c r="I64" s="13">
        <f>IF((F64+G64)&gt;0,F64/(F64+G64),"")</f>
        <v/>
      </c>
      <c r="J64" s="13">
        <f>IF((F64+H64)&gt;0,F64/(F64+H64),"")</f>
        <v/>
      </c>
      <c r="K64" s="13">
        <f>IF(AND(ISNUMBER(I64),ISNUMBER(J64),(I64+J64)&gt;0),2*I64*J64/(I64+J64),"")</f>
        <v/>
      </c>
    </row>
    <row r="65">
      <c r="I65" s="13">
        <f>IF((F65+G65)&gt;0,F65/(F65+G65),"")</f>
        <v/>
      </c>
      <c r="J65" s="13">
        <f>IF((F65+H65)&gt;0,F65/(F65+H65),"")</f>
        <v/>
      </c>
      <c r="K65" s="13">
        <f>IF(AND(ISNUMBER(I65),ISNUMBER(J65),(I65+J65)&gt;0),2*I65*J65/(I65+J65),"")</f>
        <v/>
      </c>
    </row>
    <row r="66">
      <c r="I66" s="13">
        <f>IF((F66+G66)&gt;0,F66/(F66+G66),"")</f>
        <v/>
      </c>
      <c r="J66" s="13">
        <f>IF((F66+H66)&gt;0,F66/(F66+H66),"")</f>
        <v/>
      </c>
      <c r="K66" s="13">
        <f>IF(AND(ISNUMBER(I66),ISNUMBER(J66),(I66+J66)&gt;0),2*I66*J66/(I66+J66),"")</f>
        <v/>
      </c>
    </row>
    <row r="67">
      <c r="I67" s="13">
        <f>IF((F67+G67)&gt;0,F67/(F67+G67),"")</f>
        <v/>
      </c>
      <c r="J67" s="13">
        <f>IF((F67+H67)&gt;0,F67/(F67+H67),"")</f>
        <v/>
      </c>
      <c r="K67" s="13">
        <f>IF(AND(ISNUMBER(I67),ISNUMBER(J67),(I67+J67)&gt;0),2*I67*J67/(I67+J67),"")</f>
        <v/>
      </c>
    </row>
    <row r="68">
      <c r="I68" s="13">
        <f>IF((F68+G68)&gt;0,F68/(F68+G68),"")</f>
        <v/>
      </c>
      <c r="J68" s="13">
        <f>IF((F68+H68)&gt;0,F68/(F68+H68),"")</f>
        <v/>
      </c>
      <c r="K68" s="13">
        <f>IF(AND(ISNUMBER(I68),ISNUMBER(J68),(I68+J68)&gt;0),2*I68*J68/(I68+J68),"")</f>
        <v/>
      </c>
    </row>
    <row r="69">
      <c r="I69" s="13">
        <f>IF((F69+G69)&gt;0,F69/(F69+G69),"")</f>
        <v/>
      </c>
      <c r="J69" s="13">
        <f>IF((F69+H69)&gt;0,F69/(F69+H69),"")</f>
        <v/>
      </c>
      <c r="K69" s="13">
        <f>IF(AND(ISNUMBER(I69),ISNUMBER(J69),(I69+J69)&gt;0),2*I69*J69/(I69+J69),"")</f>
        <v/>
      </c>
    </row>
    <row r="70">
      <c r="I70" s="13">
        <f>IF((F70+G70)&gt;0,F70/(F70+G70),"")</f>
        <v/>
      </c>
      <c r="J70" s="13">
        <f>IF((F70+H70)&gt;0,F70/(F70+H70),"")</f>
        <v/>
      </c>
      <c r="K70" s="13">
        <f>IF(AND(ISNUMBER(I70),ISNUMBER(J70),(I70+J70)&gt;0),2*I70*J70/(I70+J70),"")</f>
        <v/>
      </c>
    </row>
    <row r="71">
      <c r="I71" s="13">
        <f>IF((F71+G71)&gt;0,F71/(F71+G71),"")</f>
        <v/>
      </c>
      <c r="J71" s="13">
        <f>IF((F71+H71)&gt;0,F71/(F71+H71),"")</f>
        <v/>
      </c>
      <c r="K71" s="13">
        <f>IF(AND(ISNUMBER(I71),ISNUMBER(J71),(I71+J71)&gt;0),2*I71*J71/(I71+J71),"")</f>
        <v/>
      </c>
    </row>
    <row r="72">
      <c r="I72" s="13">
        <f>IF((F72+G72)&gt;0,F72/(F72+G72),"")</f>
        <v/>
      </c>
      <c r="J72" s="13">
        <f>IF((F72+H72)&gt;0,F72/(F72+H72),"")</f>
        <v/>
      </c>
      <c r="K72" s="13">
        <f>IF(AND(ISNUMBER(I72),ISNUMBER(J72),(I72+J72)&gt;0),2*I72*J72/(I72+J72),"")</f>
        <v/>
      </c>
    </row>
    <row r="73">
      <c r="I73" s="13">
        <f>IF((F73+G73)&gt;0,F73/(F73+G73),"")</f>
        <v/>
      </c>
      <c r="J73" s="13">
        <f>IF((F73+H73)&gt;0,F73/(F73+H73),"")</f>
        <v/>
      </c>
      <c r="K73" s="13">
        <f>IF(AND(ISNUMBER(I73),ISNUMBER(J73),(I73+J73)&gt;0),2*I73*J73/(I73+J73),"")</f>
        <v/>
      </c>
    </row>
    <row r="74">
      <c r="I74" s="13">
        <f>IF((F74+G74)&gt;0,F74/(F74+G74),"")</f>
        <v/>
      </c>
      <c r="J74" s="13">
        <f>IF((F74+H74)&gt;0,F74/(F74+H74),"")</f>
        <v/>
      </c>
      <c r="K74" s="13">
        <f>IF(AND(ISNUMBER(I74),ISNUMBER(J74),(I74+J74)&gt;0),2*I74*J74/(I74+J74),"")</f>
        <v/>
      </c>
    </row>
    <row r="75">
      <c r="I75" s="13">
        <f>IF((F75+G75)&gt;0,F75/(F75+G75),"")</f>
        <v/>
      </c>
      <c r="J75" s="13">
        <f>IF((F75+H75)&gt;0,F75/(F75+H75),"")</f>
        <v/>
      </c>
      <c r="K75" s="13">
        <f>IF(AND(ISNUMBER(I75),ISNUMBER(J75),(I75+J75)&gt;0),2*I75*J75/(I75+J75),"")</f>
        <v/>
      </c>
    </row>
    <row r="76">
      <c r="I76" s="13">
        <f>IF((F76+G76)&gt;0,F76/(F76+G76),"")</f>
        <v/>
      </c>
      <c r="J76" s="13">
        <f>IF((F76+H76)&gt;0,F76/(F76+H76),"")</f>
        <v/>
      </c>
      <c r="K76" s="13">
        <f>IF(AND(ISNUMBER(I76),ISNUMBER(J76),(I76+J76)&gt;0),2*I76*J76/(I76+J76),"")</f>
        <v/>
      </c>
    </row>
    <row r="77">
      <c r="I77" s="13">
        <f>IF((F77+G77)&gt;0,F77/(F77+G77),"")</f>
        <v/>
      </c>
      <c r="J77" s="13">
        <f>IF((F77+H77)&gt;0,F77/(F77+H77),"")</f>
        <v/>
      </c>
      <c r="K77" s="13">
        <f>IF(AND(ISNUMBER(I77),ISNUMBER(J77),(I77+J77)&gt;0),2*I77*J77/(I77+J77),"")</f>
        <v/>
      </c>
    </row>
    <row r="78">
      <c r="I78" s="13">
        <f>IF((F78+G78)&gt;0,F78/(F78+G78),"")</f>
        <v/>
      </c>
      <c r="J78" s="13">
        <f>IF((F78+H78)&gt;0,F78/(F78+H78),"")</f>
        <v/>
      </c>
      <c r="K78" s="13">
        <f>IF(AND(ISNUMBER(I78),ISNUMBER(J78),(I78+J78)&gt;0),2*I78*J78/(I78+J78),"")</f>
        <v/>
      </c>
    </row>
    <row r="79">
      <c r="I79" s="13">
        <f>IF((F79+G79)&gt;0,F79/(F79+G79),"")</f>
        <v/>
      </c>
      <c r="J79" s="13">
        <f>IF((F79+H79)&gt;0,F79/(F79+H79),"")</f>
        <v/>
      </c>
      <c r="K79" s="13">
        <f>IF(AND(ISNUMBER(I79),ISNUMBER(J79),(I79+J79)&gt;0),2*I79*J79/(I79+J79),"")</f>
        <v/>
      </c>
    </row>
    <row r="80">
      <c r="I80" s="13">
        <f>IF((F80+G80)&gt;0,F80/(F80+G80),"")</f>
        <v/>
      </c>
      <c r="J80" s="13">
        <f>IF((F80+H80)&gt;0,F80/(F80+H80),"")</f>
        <v/>
      </c>
      <c r="K80" s="13">
        <f>IF(AND(ISNUMBER(I80),ISNUMBER(J80),(I80+J80)&gt;0),2*I80*J80/(I80+J80),"")</f>
        <v/>
      </c>
    </row>
    <row r="81">
      <c r="I81" s="13">
        <f>IF((F81+G81)&gt;0,F81/(F81+G81),"")</f>
        <v/>
      </c>
      <c r="J81" s="13">
        <f>IF((F81+H81)&gt;0,F81/(F81+H81),"")</f>
        <v/>
      </c>
      <c r="K81" s="13">
        <f>IF(AND(ISNUMBER(I81),ISNUMBER(J81),(I81+J81)&gt;0),2*I81*J81/(I81+J81),"")</f>
        <v/>
      </c>
    </row>
    <row r="82">
      <c r="I82" s="13">
        <f>IF((F82+G82)&gt;0,F82/(F82+G82),"")</f>
        <v/>
      </c>
      <c r="J82" s="13">
        <f>IF((F82+H82)&gt;0,F82/(F82+H82),"")</f>
        <v/>
      </c>
      <c r="K82" s="13">
        <f>IF(AND(ISNUMBER(I82),ISNUMBER(J82),(I82+J82)&gt;0),2*I82*J82/(I82+J82),"")</f>
        <v/>
      </c>
    </row>
    <row r="83">
      <c r="I83" s="13">
        <f>IF((F83+G83)&gt;0,F83/(F83+G83),"")</f>
        <v/>
      </c>
      <c r="J83" s="13">
        <f>IF((F83+H83)&gt;0,F83/(F83+H83),"")</f>
        <v/>
      </c>
      <c r="K83" s="13">
        <f>IF(AND(ISNUMBER(I83),ISNUMBER(J83),(I83+J83)&gt;0),2*I83*J83/(I83+J83),"")</f>
        <v/>
      </c>
    </row>
    <row r="84">
      <c r="I84" s="13">
        <f>IF((F84+G84)&gt;0,F84/(F84+G84),"")</f>
        <v/>
      </c>
      <c r="J84" s="13">
        <f>IF((F84+H84)&gt;0,F84/(F84+H84),"")</f>
        <v/>
      </c>
      <c r="K84" s="13">
        <f>IF(AND(ISNUMBER(I84),ISNUMBER(J84),(I84+J84)&gt;0),2*I84*J84/(I84+J84),"")</f>
        <v/>
      </c>
    </row>
    <row r="85">
      <c r="I85" s="13">
        <f>IF((F85+G85)&gt;0,F85/(F85+G85),"")</f>
        <v/>
      </c>
      <c r="J85" s="13">
        <f>IF((F85+H85)&gt;0,F85/(F85+H85),"")</f>
        <v/>
      </c>
      <c r="K85" s="13">
        <f>IF(AND(ISNUMBER(I85),ISNUMBER(J85),(I85+J85)&gt;0),2*I85*J85/(I85+J85),"")</f>
        <v/>
      </c>
    </row>
    <row r="86">
      <c r="I86" s="13">
        <f>IF((F86+G86)&gt;0,F86/(F86+G86),"")</f>
        <v/>
      </c>
      <c r="J86" s="13">
        <f>IF((F86+H86)&gt;0,F86/(F86+H86),"")</f>
        <v/>
      </c>
      <c r="K86" s="13">
        <f>IF(AND(ISNUMBER(I86),ISNUMBER(J86),(I86+J86)&gt;0),2*I86*J86/(I86+J86),"")</f>
        <v/>
      </c>
    </row>
    <row r="87">
      <c r="I87" s="13">
        <f>IF((F87+G87)&gt;0,F87/(F87+G87),"")</f>
        <v/>
      </c>
      <c r="J87" s="13">
        <f>IF((F87+H87)&gt;0,F87/(F87+H87),"")</f>
        <v/>
      </c>
      <c r="K87" s="13">
        <f>IF(AND(ISNUMBER(I87),ISNUMBER(J87),(I87+J87)&gt;0),2*I87*J87/(I87+J87),"")</f>
        <v/>
      </c>
    </row>
    <row r="88">
      <c r="I88" s="13">
        <f>IF((F88+G88)&gt;0,F88/(F88+G88),"")</f>
        <v/>
      </c>
      <c r="J88" s="13">
        <f>IF((F88+H88)&gt;0,F88/(F88+H88),"")</f>
        <v/>
      </c>
      <c r="K88" s="13">
        <f>IF(AND(ISNUMBER(I88),ISNUMBER(J88),(I88+J88)&gt;0),2*I88*J88/(I88+J88),"")</f>
        <v/>
      </c>
    </row>
    <row r="89">
      <c r="I89" s="13">
        <f>IF((F89+G89)&gt;0,F89/(F89+G89),"")</f>
        <v/>
      </c>
      <c r="J89" s="13">
        <f>IF((F89+H89)&gt;0,F89/(F89+H89),"")</f>
        <v/>
      </c>
      <c r="K89" s="13">
        <f>IF(AND(ISNUMBER(I89),ISNUMBER(J89),(I89+J89)&gt;0),2*I89*J89/(I89+J89),"")</f>
        <v/>
      </c>
    </row>
    <row r="90">
      <c r="I90" s="13">
        <f>IF((F90+G90)&gt;0,F90/(F90+G90),"")</f>
        <v/>
      </c>
      <c r="J90" s="13">
        <f>IF((F90+H90)&gt;0,F90/(F90+H90),"")</f>
        <v/>
      </c>
      <c r="K90" s="13">
        <f>IF(AND(ISNUMBER(I90),ISNUMBER(J90),(I90+J90)&gt;0),2*I90*J90/(I90+J90),"")</f>
        <v/>
      </c>
    </row>
    <row r="91">
      <c r="I91" s="13">
        <f>IF((F91+G91)&gt;0,F91/(F91+G91),"")</f>
        <v/>
      </c>
      <c r="J91" s="13">
        <f>IF((F91+H91)&gt;0,F91/(F91+H91),"")</f>
        <v/>
      </c>
      <c r="K91" s="13">
        <f>IF(AND(ISNUMBER(I91),ISNUMBER(J91),(I91+J91)&gt;0),2*I91*J91/(I91+J91),"")</f>
        <v/>
      </c>
    </row>
    <row r="92">
      <c r="I92" s="13">
        <f>IF((F92+G92)&gt;0,F92/(F92+G92),"")</f>
        <v/>
      </c>
      <c r="J92" s="13">
        <f>IF((F92+H92)&gt;0,F92/(F92+H92),"")</f>
        <v/>
      </c>
      <c r="K92" s="13">
        <f>IF(AND(ISNUMBER(I92),ISNUMBER(J92),(I92+J92)&gt;0),2*I92*J92/(I92+J92),"")</f>
        <v/>
      </c>
    </row>
    <row r="93">
      <c r="I93" s="13">
        <f>IF((F93+G93)&gt;0,F93/(F93+G93),"")</f>
        <v/>
      </c>
      <c r="J93" s="13">
        <f>IF((F93+H93)&gt;0,F93/(F93+H93),"")</f>
        <v/>
      </c>
      <c r="K93" s="13">
        <f>IF(AND(ISNUMBER(I93),ISNUMBER(J93),(I93+J93)&gt;0),2*I93*J93/(I93+J93),"")</f>
        <v/>
      </c>
    </row>
    <row r="94">
      <c r="I94" s="13">
        <f>IF((F94+G94)&gt;0,F94/(F94+G94),"")</f>
        <v/>
      </c>
      <c r="J94" s="13">
        <f>IF((F94+H94)&gt;0,F94/(F94+H94),"")</f>
        <v/>
      </c>
      <c r="K94" s="13">
        <f>IF(AND(ISNUMBER(I94),ISNUMBER(J94),(I94+J94)&gt;0),2*I94*J94/(I94+J94),"")</f>
        <v/>
      </c>
    </row>
    <row r="95">
      <c r="I95" s="13">
        <f>IF((F95+G95)&gt;0,F95/(F95+G95),"")</f>
        <v/>
      </c>
      <c r="J95" s="13">
        <f>IF((F95+H95)&gt;0,F95/(F95+H95),"")</f>
        <v/>
      </c>
      <c r="K95" s="13">
        <f>IF(AND(ISNUMBER(I95),ISNUMBER(J95),(I95+J95)&gt;0),2*I95*J95/(I95+J95),"")</f>
        <v/>
      </c>
    </row>
    <row r="96">
      <c r="I96" s="13">
        <f>IF((F96+G96)&gt;0,F96/(F96+G96),"")</f>
        <v/>
      </c>
      <c r="J96" s="13">
        <f>IF((F96+H96)&gt;0,F96/(F96+H96),"")</f>
        <v/>
      </c>
      <c r="K96" s="13">
        <f>IF(AND(ISNUMBER(I96),ISNUMBER(J96),(I96+J96)&gt;0),2*I96*J96/(I96+J96),"")</f>
        <v/>
      </c>
    </row>
    <row r="97">
      <c r="I97" s="13">
        <f>IF((F97+G97)&gt;0,F97/(F97+G97),"")</f>
        <v/>
      </c>
      <c r="J97" s="13">
        <f>IF((F97+H97)&gt;0,F97/(F97+H97),"")</f>
        <v/>
      </c>
      <c r="K97" s="13">
        <f>IF(AND(ISNUMBER(I97),ISNUMBER(J97),(I97+J97)&gt;0),2*I97*J97/(I97+J97),"")</f>
        <v/>
      </c>
    </row>
    <row r="98">
      <c r="I98" s="13">
        <f>IF((F98+G98)&gt;0,F98/(F98+G98),"")</f>
        <v/>
      </c>
      <c r="J98" s="13">
        <f>IF((F98+H98)&gt;0,F98/(F98+H98),"")</f>
        <v/>
      </c>
      <c r="K98" s="13">
        <f>IF(AND(ISNUMBER(I98),ISNUMBER(J98),(I98+J98)&gt;0),2*I98*J98/(I98+J98),"")</f>
        <v/>
      </c>
    </row>
    <row r="99">
      <c r="I99" s="13">
        <f>IF((F99+G99)&gt;0,F99/(F99+G99),"")</f>
        <v/>
      </c>
      <c r="J99" s="13">
        <f>IF((F99+H99)&gt;0,F99/(F99+H99),"")</f>
        <v/>
      </c>
      <c r="K99" s="13">
        <f>IF(AND(ISNUMBER(I99),ISNUMBER(J99),(I99+J99)&gt;0),2*I99*J99/(I99+J99),"")</f>
        <v/>
      </c>
    </row>
    <row r="100">
      <c r="I100" s="13">
        <f>IF((F100+G100)&gt;0,F100/(F100+G100),"")</f>
        <v/>
      </c>
      <c r="J100" s="13">
        <f>IF((F100+H100)&gt;0,F100/(F100+H100),"")</f>
        <v/>
      </c>
      <c r="K100" s="13">
        <f>IF(AND(ISNUMBER(I100),ISNUMBER(J100),(I100+J100)&gt;0),2*I100*J100/(I100+J100),"")</f>
        <v/>
      </c>
    </row>
    <row r="101">
      <c r="I101" s="13">
        <f>IF((F101+G101)&gt;0,F101/(F101+G101),"")</f>
        <v/>
      </c>
      <c r="J101" s="13">
        <f>IF((F101+H101)&gt;0,F101/(F101+H101),"")</f>
        <v/>
      </c>
      <c r="K101" s="13">
        <f>IF(AND(ISNUMBER(I101),ISNUMBER(J101),(I101+J101)&gt;0),2*I101*J101/(I101+J101),"")</f>
        <v/>
      </c>
    </row>
    <row r="102">
      <c r="I102" s="13">
        <f>IF((F102+G102)&gt;0,F102/(F102+G102),"")</f>
        <v/>
      </c>
      <c r="J102" s="13">
        <f>IF((F102+H102)&gt;0,F102/(F102+H102),"")</f>
        <v/>
      </c>
      <c r="K102" s="13">
        <f>IF(AND(ISNUMBER(I102),ISNUMBER(J102),(I102+J102)&gt;0),2*I102*J102/(I102+J102),"")</f>
        <v/>
      </c>
    </row>
    <row r="103">
      <c r="I103" s="13">
        <f>IF((F103+G103)&gt;0,F103/(F103+G103),"")</f>
        <v/>
      </c>
      <c r="J103" s="13">
        <f>IF((F103+H103)&gt;0,F103/(F103+H103),"")</f>
        <v/>
      </c>
      <c r="K103" s="13">
        <f>IF(AND(ISNUMBER(I103),ISNUMBER(J103),(I103+J103)&gt;0),2*I103*J103/(I103+J103),"")</f>
        <v/>
      </c>
    </row>
    <row r="104">
      <c r="I104" s="13">
        <f>IF((F104+G104)&gt;0,F104/(F104+G104),"")</f>
        <v/>
      </c>
      <c r="J104" s="13">
        <f>IF((F104+H104)&gt;0,F104/(F104+H104),"")</f>
        <v/>
      </c>
      <c r="K104" s="13">
        <f>IF(AND(ISNUMBER(I104),ISNUMBER(J104),(I104+J104)&gt;0),2*I104*J104/(I104+J104),"")</f>
        <v/>
      </c>
    </row>
    <row r="105">
      <c r="I105" s="13">
        <f>IF((F105+G105)&gt;0,F105/(F105+G105),"")</f>
        <v/>
      </c>
      <c r="J105" s="13">
        <f>IF((F105+H105)&gt;0,F105/(F105+H105),"")</f>
        <v/>
      </c>
      <c r="K105" s="13">
        <f>IF(AND(ISNUMBER(I105),ISNUMBER(J105),(I105+J105)&gt;0),2*I105*J105/(I105+J105),"")</f>
        <v/>
      </c>
    </row>
    <row r="106">
      <c r="I106" s="13">
        <f>IF((F106+G106)&gt;0,F106/(F106+G106),"")</f>
        <v/>
      </c>
      <c r="J106" s="13">
        <f>IF((F106+H106)&gt;0,F106/(F106+H106),"")</f>
        <v/>
      </c>
      <c r="K106" s="13">
        <f>IF(AND(ISNUMBER(I106),ISNUMBER(J106),(I106+J106)&gt;0),2*I106*J106/(I106+J106),"")</f>
        <v/>
      </c>
    </row>
    <row r="107">
      <c r="I107" s="13">
        <f>IF((F107+G107)&gt;0,F107/(F107+G107),"")</f>
        <v/>
      </c>
      <c r="J107" s="13">
        <f>IF((F107+H107)&gt;0,F107/(F107+H107),"")</f>
        <v/>
      </c>
      <c r="K107" s="13">
        <f>IF(AND(ISNUMBER(I107),ISNUMBER(J107),(I107+J107)&gt;0),2*I107*J107/(I107+J107),"")</f>
        <v/>
      </c>
    </row>
    <row r="108">
      <c r="I108" s="13">
        <f>IF((F108+G108)&gt;0,F108/(F108+G108),"")</f>
        <v/>
      </c>
      <c r="J108" s="13">
        <f>IF((F108+H108)&gt;0,F108/(F108+H108),"")</f>
        <v/>
      </c>
      <c r="K108" s="13">
        <f>IF(AND(ISNUMBER(I108),ISNUMBER(J108),(I108+J108)&gt;0),2*I108*J108/(I108+J108),"")</f>
        <v/>
      </c>
    </row>
    <row r="109">
      <c r="I109" s="13">
        <f>IF((F109+G109)&gt;0,F109/(F109+G109),"")</f>
        <v/>
      </c>
      <c r="J109" s="13">
        <f>IF((F109+H109)&gt;0,F109/(F109+H109),"")</f>
        <v/>
      </c>
      <c r="K109" s="13">
        <f>IF(AND(ISNUMBER(I109),ISNUMBER(J109),(I109+J109)&gt;0),2*I109*J109/(I109+J109),"")</f>
        <v/>
      </c>
    </row>
    <row r="110">
      <c r="I110" s="13">
        <f>IF((F110+G110)&gt;0,F110/(F110+G110),"")</f>
        <v/>
      </c>
      <c r="J110" s="13">
        <f>IF((F110+H110)&gt;0,F110/(F110+H110),"")</f>
        <v/>
      </c>
      <c r="K110" s="13">
        <f>IF(AND(ISNUMBER(I110),ISNUMBER(J110),(I110+J110)&gt;0),2*I110*J110/(I110+J110),"")</f>
        <v/>
      </c>
    </row>
    <row r="111">
      <c r="I111" s="13">
        <f>IF((F111+G111)&gt;0,F111/(F111+G111),"")</f>
        <v/>
      </c>
      <c r="J111" s="13">
        <f>IF((F111+H111)&gt;0,F111/(F111+H111),"")</f>
        <v/>
      </c>
      <c r="K111" s="13">
        <f>IF(AND(ISNUMBER(I111),ISNUMBER(J111),(I111+J111)&gt;0),2*I111*J111/(I111+J111),"")</f>
        <v/>
      </c>
    </row>
    <row r="112">
      <c r="I112" s="13">
        <f>IF((F112+G112)&gt;0,F112/(F112+G112),"")</f>
        <v/>
      </c>
      <c r="J112" s="13">
        <f>IF((F112+H112)&gt;0,F112/(F112+H112),"")</f>
        <v/>
      </c>
      <c r="K112" s="13">
        <f>IF(AND(ISNUMBER(I112),ISNUMBER(J112),(I112+J112)&gt;0),2*I112*J112/(I112+J112),"")</f>
        <v/>
      </c>
    </row>
    <row r="113">
      <c r="I113" s="13">
        <f>IF((F113+G113)&gt;0,F113/(F113+G113),"")</f>
        <v/>
      </c>
      <c r="J113" s="13">
        <f>IF((F113+H113)&gt;0,F113/(F113+H113),"")</f>
        <v/>
      </c>
      <c r="K113" s="13">
        <f>IF(AND(ISNUMBER(I113),ISNUMBER(J113),(I113+J113)&gt;0),2*I113*J113/(I113+J113),"")</f>
        <v/>
      </c>
    </row>
    <row r="114">
      <c r="I114" s="13">
        <f>IF((F114+G114)&gt;0,F114/(F114+G114),"")</f>
        <v/>
      </c>
      <c r="J114" s="13">
        <f>IF((F114+H114)&gt;0,F114/(F114+H114),"")</f>
        <v/>
      </c>
      <c r="K114" s="13">
        <f>IF(AND(ISNUMBER(I114),ISNUMBER(J114),(I114+J114)&gt;0),2*I114*J114/(I114+J114),"")</f>
        <v/>
      </c>
    </row>
    <row r="115">
      <c r="I115" s="13">
        <f>IF((F115+G115)&gt;0,F115/(F115+G115),"")</f>
        <v/>
      </c>
      <c r="J115" s="13">
        <f>IF((F115+H115)&gt;0,F115/(F115+H115),"")</f>
        <v/>
      </c>
      <c r="K115" s="13">
        <f>IF(AND(ISNUMBER(I115),ISNUMBER(J115),(I115+J115)&gt;0),2*I115*J115/(I115+J115),"")</f>
        <v/>
      </c>
    </row>
    <row r="116">
      <c r="I116" s="13">
        <f>IF((F116+G116)&gt;0,F116/(F116+G116),"")</f>
        <v/>
      </c>
      <c r="J116" s="13">
        <f>IF((F116+H116)&gt;0,F116/(F116+H116),"")</f>
        <v/>
      </c>
      <c r="K116" s="13">
        <f>IF(AND(ISNUMBER(I116),ISNUMBER(J116),(I116+J116)&gt;0),2*I116*J116/(I116+J116),"")</f>
        <v/>
      </c>
    </row>
    <row r="117">
      <c r="I117" s="13">
        <f>IF((F117+G117)&gt;0,F117/(F117+G117),"")</f>
        <v/>
      </c>
      <c r="J117" s="13">
        <f>IF((F117+H117)&gt;0,F117/(F117+H117),"")</f>
        <v/>
      </c>
      <c r="K117" s="13">
        <f>IF(AND(ISNUMBER(I117),ISNUMBER(J117),(I117+J117)&gt;0),2*I117*J117/(I117+J117),"")</f>
        <v/>
      </c>
    </row>
    <row r="118">
      <c r="I118" s="13">
        <f>IF((F118+G118)&gt;0,F118/(F118+G118),"")</f>
        <v/>
      </c>
      <c r="J118" s="13">
        <f>IF((F118+H118)&gt;0,F118/(F118+H118),"")</f>
        <v/>
      </c>
      <c r="K118" s="13">
        <f>IF(AND(ISNUMBER(I118),ISNUMBER(J118),(I118+J118)&gt;0),2*I118*J118/(I118+J118),"")</f>
        <v/>
      </c>
    </row>
    <row r="119">
      <c r="I119" s="13">
        <f>IF((F119+G119)&gt;0,F119/(F119+G119),"")</f>
        <v/>
      </c>
      <c r="J119" s="13">
        <f>IF((F119+H119)&gt;0,F119/(F119+H119),"")</f>
        <v/>
      </c>
      <c r="K119" s="13">
        <f>IF(AND(ISNUMBER(I119),ISNUMBER(J119),(I119+J119)&gt;0),2*I119*J119/(I119+J119),"")</f>
        <v/>
      </c>
    </row>
    <row r="120">
      <c r="I120" s="13">
        <f>IF((F120+G120)&gt;0,F120/(F120+G120),"")</f>
        <v/>
      </c>
      <c r="J120" s="13">
        <f>IF((F120+H120)&gt;0,F120/(F120+H120),"")</f>
        <v/>
      </c>
      <c r="K120" s="13">
        <f>IF(AND(ISNUMBER(I120),ISNUMBER(J120),(I120+J120)&gt;0),2*I120*J120/(I120+J120),"")</f>
        <v/>
      </c>
    </row>
    <row r="121">
      <c r="I121" s="13">
        <f>IF((F121+G121)&gt;0,F121/(F121+G121),"")</f>
        <v/>
      </c>
      <c r="J121" s="13">
        <f>IF((F121+H121)&gt;0,F121/(F121+H121),"")</f>
        <v/>
      </c>
      <c r="K121" s="13">
        <f>IF(AND(ISNUMBER(I121),ISNUMBER(J121),(I121+J121)&gt;0),2*I121*J121/(I121+J121),"")</f>
        <v/>
      </c>
    </row>
    <row r="122">
      <c r="I122" s="13">
        <f>IF((F122+G122)&gt;0,F122/(F122+G122),"")</f>
        <v/>
      </c>
      <c r="J122" s="13">
        <f>IF((F122+H122)&gt;0,F122/(F122+H122),"")</f>
        <v/>
      </c>
      <c r="K122" s="13">
        <f>IF(AND(ISNUMBER(I122),ISNUMBER(J122),(I122+J122)&gt;0),2*I122*J122/(I122+J122),"")</f>
        <v/>
      </c>
    </row>
    <row r="123">
      <c r="I123" s="13">
        <f>IF((F123+G123)&gt;0,F123/(F123+G123),"")</f>
        <v/>
      </c>
      <c r="J123" s="13">
        <f>IF((F123+H123)&gt;0,F123/(F123+H123),"")</f>
        <v/>
      </c>
      <c r="K123" s="13">
        <f>IF(AND(ISNUMBER(I123),ISNUMBER(J123),(I123+J123)&gt;0),2*I123*J123/(I123+J123),"")</f>
        <v/>
      </c>
    </row>
    <row r="124">
      <c r="I124" s="13">
        <f>IF((F124+G124)&gt;0,F124/(F124+G124),"")</f>
        <v/>
      </c>
      <c r="J124" s="13">
        <f>IF((F124+H124)&gt;0,F124/(F124+H124),"")</f>
        <v/>
      </c>
      <c r="K124" s="13">
        <f>IF(AND(ISNUMBER(I124),ISNUMBER(J124),(I124+J124)&gt;0),2*I124*J124/(I124+J124),"")</f>
        <v/>
      </c>
    </row>
    <row r="125">
      <c r="I125" s="13">
        <f>IF((F125+G125)&gt;0,F125/(F125+G125),"")</f>
        <v/>
      </c>
      <c r="J125" s="13">
        <f>IF((F125+H125)&gt;0,F125/(F125+H125),"")</f>
        <v/>
      </c>
      <c r="K125" s="13">
        <f>IF(AND(ISNUMBER(I125),ISNUMBER(J125),(I125+J125)&gt;0),2*I125*J125/(I125+J125),"")</f>
        <v/>
      </c>
    </row>
    <row r="126">
      <c r="I126" s="13">
        <f>IF((F126+G126)&gt;0,F126/(F126+G126),"")</f>
        <v/>
      </c>
      <c r="J126" s="13">
        <f>IF((F126+H126)&gt;0,F126/(F126+H126),"")</f>
        <v/>
      </c>
      <c r="K126" s="13">
        <f>IF(AND(ISNUMBER(I126),ISNUMBER(J126),(I126+J126)&gt;0),2*I126*J126/(I126+J126),"")</f>
        <v/>
      </c>
    </row>
    <row r="127">
      <c r="I127" s="13">
        <f>IF((F127+G127)&gt;0,F127/(F127+G127),"")</f>
        <v/>
      </c>
      <c r="J127" s="13">
        <f>IF((F127+H127)&gt;0,F127/(F127+H127),"")</f>
        <v/>
      </c>
      <c r="K127" s="13">
        <f>IF(AND(ISNUMBER(I127),ISNUMBER(J127),(I127+J127)&gt;0),2*I127*J127/(I127+J127),"")</f>
        <v/>
      </c>
    </row>
    <row r="128">
      <c r="I128" s="13">
        <f>IF((F128+G128)&gt;0,F128/(F128+G128),"")</f>
        <v/>
      </c>
      <c r="J128" s="13">
        <f>IF((F128+H128)&gt;0,F128/(F128+H128),"")</f>
        <v/>
      </c>
      <c r="K128" s="13">
        <f>IF(AND(ISNUMBER(I128),ISNUMBER(J128),(I128+J128)&gt;0),2*I128*J128/(I128+J128),"")</f>
        <v/>
      </c>
    </row>
    <row r="129">
      <c r="I129" s="13">
        <f>IF((F129+G129)&gt;0,F129/(F129+G129),"")</f>
        <v/>
      </c>
      <c r="J129" s="13">
        <f>IF((F129+H129)&gt;0,F129/(F129+H129),"")</f>
        <v/>
      </c>
      <c r="K129" s="13">
        <f>IF(AND(ISNUMBER(I129),ISNUMBER(J129),(I129+J129)&gt;0),2*I129*J129/(I129+J129),"")</f>
        <v/>
      </c>
    </row>
    <row r="130">
      <c r="I130" s="13">
        <f>IF((F130+G130)&gt;0,F130/(F130+G130),"")</f>
        <v/>
      </c>
      <c r="J130" s="13">
        <f>IF((F130+H130)&gt;0,F130/(F130+H130),"")</f>
        <v/>
      </c>
      <c r="K130" s="13">
        <f>IF(AND(ISNUMBER(I130),ISNUMBER(J130),(I130+J130)&gt;0),2*I130*J130/(I130+J130),"")</f>
        <v/>
      </c>
    </row>
    <row r="131">
      <c r="I131" s="13">
        <f>IF((F131+G131)&gt;0,F131/(F131+G131),"")</f>
        <v/>
      </c>
      <c r="J131" s="13">
        <f>IF((F131+H131)&gt;0,F131/(F131+H131),"")</f>
        <v/>
      </c>
      <c r="K131" s="13">
        <f>IF(AND(ISNUMBER(I131),ISNUMBER(J131),(I131+J131)&gt;0),2*I131*J131/(I131+J131),"")</f>
        <v/>
      </c>
    </row>
    <row r="132">
      <c r="I132" s="13">
        <f>IF((F132+G132)&gt;0,F132/(F132+G132),"")</f>
        <v/>
      </c>
      <c r="J132" s="13">
        <f>IF((F132+H132)&gt;0,F132/(F132+H132),"")</f>
        <v/>
      </c>
      <c r="K132" s="13">
        <f>IF(AND(ISNUMBER(I132),ISNUMBER(J132),(I132+J132)&gt;0),2*I132*J132/(I132+J132),"")</f>
        <v/>
      </c>
    </row>
    <row r="133">
      <c r="I133" s="13">
        <f>IF((F133+G133)&gt;0,F133/(F133+G133),"")</f>
        <v/>
      </c>
      <c r="J133" s="13">
        <f>IF((F133+H133)&gt;0,F133/(F133+H133),"")</f>
        <v/>
      </c>
      <c r="K133" s="13">
        <f>IF(AND(ISNUMBER(I133),ISNUMBER(J133),(I133+J133)&gt;0),2*I133*J133/(I133+J133),"")</f>
        <v/>
      </c>
    </row>
    <row r="134">
      <c r="I134" s="13">
        <f>IF((F134+G134)&gt;0,F134/(F134+G134),"")</f>
        <v/>
      </c>
      <c r="J134" s="13">
        <f>IF((F134+H134)&gt;0,F134/(F134+H134),"")</f>
        <v/>
      </c>
      <c r="K134" s="13">
        <f>IF(AND(ISNUMBER(I134),ISNUMBER(J134),(I134+J134)&gt;0),2*I134*J134/(I134+J134),"")</f>
        <v/>
      </c>
    </row>
    <row r="135">
      <c r="I135" s="13">
        <f>IF((F135+G135)&gt;0,F135/(F135+G135),"")</f>
        <v/>
      </c>
      <c r="J135" s="13">
        <f>IF((F135+H135)&gt;0,F135/(F135+H135),"")</f>
        <v/>
      </c>
      <c r="K135" s="13">
        <f>IF(AND(ISNUMBER(I135),ISNUMBER(J135),(I135+J135)&gt;0),2*I135*J135/(I135+J135),"")</f>
        <v/>
      </c>
    </row>
    <row r="136">
      <c r="I136" s="13">
        <f>IF((F136+G136)&gt;0,F136/(F136+G136),"")</f>
        <v/>
      </c>
      <c r="J136" s="13">
        <f>IF((F136+H136)&gt;0,F136/(F136+H136),"")</f>
        <v/>
      </c>
      <c r="K136" s="13">
        <f>IF(AND(ISNUMBER(I136),ISNUMBER(J136),(I136+J136)&gt;0),2*I136*J136/(I136+J136),"")</f>
        <v/>
      </c>
    </row>
    <row r="137">
      <c r="I137" s="13">
        <f>IF((F137+G137)&gt;0,F137/(F137+G137),"")</f>
        <v/>
      </c>
      <c r="J137" s="13">
        <f>IF((F137+H137)&gt;0,F137/(F137+H137),"")</f>
        <v/>
      </c>
      <c r="K137" s="13">
        <f>IF(AND(ISNUMBER(I137),ISNUMBER(J137),(I137+J137)&gt;0),2*I137*J137/(I137+J137),"")</f>
        <v/>
      </c>
    </row>
    <row r="138">
      <c r="I138" s="13">
        <f>IF((F138+G138)&gt;0,F138/(F138+G138),"")</f>
        <v/>
      </c>
      <c r="J138" s="13">
        <f>IF((F138+H138)&gt;0,F138/(F138+H138),"")</f>
        <v/>
      </c>
      <c r="K138" s="13">
        <f>IF(AND(ISNUMBER(I138),ISNUMBER(J138),(I138+J138)&gt;0),2*I138*J138/(I138+J138),"")</f>
        <v/>
      </c>
    </row>
    <row r="139">
      <c r="I139" s="13">
        <f>IF((F139+G139)&gt;0,F139/(F139+G139),"")</f>
        <v/>
      </c>
      <c r="J139" s="13">
        <f>IF((F139+H139)&gt;0,F139/(F139+H139),"")</f>
        <v/>
      </c>
      <c r="K139" s="13">
        <f>IF(AND(ISNUMBER(I139),ISNUMBER(J139),(I139+J139)&gt;0),2*I139*J139/(I139+J139),"")</f>
        <v/>
      </c>
    </row>
    <row r="140">
      <c r="I140" s="13">
        <f>IF((F140+G140)&gt;0,F140/(F140+G140),"")</f>
        <v/>
      </c>
      <c r="J140" s="13">
        <f>IF((F140+H140)&gt;0,F140/(F140+H140),"")</f>
        <v/>
      </c>
      <c r="K140" s="13">
        <f>IF(AND(ISNUMBER(I140),ISNUMBER(J140),(I140+J140)&gt;0),2*I140*J140/(I140+J140),"")</f>
        <v/>
      </c>
    </row>
    <row r="141">
      <c r="I141" s="13">
        <f>IF((F141+G141)&gt;0,F141/(F141+G141),"")</f>
        <v/>
      </c>
      <c r="J141" s="13">
        <f>IF((F141+H141)&gt;0,F141/(F141+H141),"")</f>
        <v/>
      </c>
      <c r="K141" s="13">
        <f>IF(AND(ISNUMBER(I141),ISNUMBER(J141),(I141+J141)&gt;0),2*I141*J141/(I141+J141),"")</f>
        <v/>
      </c>
    </row>
    <row r="142">
      <c r="I142" s="13">
        <f>IF((F142+G142)&gt;0,F142/(F142+G142),"")</f>
        <v/>
      </c>
      <c r="J142" s="13">
        <f>IF((F142+H142)&gt;0,F142/(F142+H142),"")</f>
        <v/>
      </c>
      <c r="K142" s="13">
        <f>IF(AND(ISNUMBER(I142),ISNUMBER(J142),(I142+J142)&gt;0),2*I142*J142/(I142+J142),"")</f>
        <v/>
      </c>
    </row>
    <row r="143">
      <c r="I143" s="13">
        <f>IF((F143+G143)&gt;0,F143/(F143+G143),"")</f>
        <v/>
      </c>
      <c r="J143" s="13">
        <f>IF((F143+H143)&gt;0,F143/(F143+H143),"")</f>
        <v/>
      </c>
      <c r="K143" s="13">
        <f>IF(AND(ISNUMBER(I143),ISNUMBER(J143),(I143+J143)&gt;0),2*I143*J143/(I143+J143),"")</f>
        <v/>
      </c>
    </row>
    <row r="144">
      <c r="I144" s="13">
        <f>IF((F144+G144)&gt;0,F144/(F144+G144),"")</f>
        <v/>
      </c>
      <c r="J144" s="13">
        <f>IF((F144+H144)&gt;0,F144/(F144+H144),"")</f>
        <v/>
      </c>
      <c r="K144" s="13">
        <f>IF(AND(ISNUMBER(I144),ISNUMBER(J144),(I144+J144)&gt;0),2*I144*J144/(I144+J144),"")</f>
        <v/>
      </c>
    </row>
    <row r="145">
      <c r="I145" s="13">
        <f>IF((F145+G145)&gt;0,F145/(F145+G145),"")</f>
        <v/>
      </c>
      <c r="J145" s="13">
        <f>IF((F145+H145)&gt;0,F145/(F145+H145),"")</f>
        <v/>
      </c>
      <c r="K145" s="13">
        <f>IF(AND(ISNUMBER(I145),ISNUMBER(J145),(I145+J145)&gt;0),2*I145*J145/(I145+J145),"")</f>
        <v/>
      </c>
    </row>
    <row r="146">
      <c r="I146" s="13">
        <f>IF((F146+G146)&gt;0,F146/(F146+G146),"")</f>
        <v/>
      </c>
      <c r="J146" s="13">
        <f>IF((F146+H146)&gt;0,F146/(F146+H146),"")</f>
        <v/>
      </c>
      <c r="K146" s="13">
        <f>IF(AND(ISNUMBER(I146),ISNUMBER(J146),(I146+J146)&gt;0),2*I146*J146/(I146+J146),"")</f>
        <v/>
      </c>
    </row>
    <row r="147">
      <c r="I147" s="13">
        <f>IF((F147+G147)&gt;0,F147/(F147+G147),"")</f>
        <v/>
      </c>
      <c r="J147" s="13">
        <f>IF((F147+H147)&gt;0,F147/(F147+H147),"")</f>
        <v/>
      </c>
      <c r="K147" s="13">
        <f>IF(AND(ISNUMBER(I147),ISNUMBER(J147),(I147+J147)&gt;0),2*I147*J147/(I147+J147),"")</f>
        <v/>
      </c>
    </row>
    <row r="148">
      <c r="I148" s="13">
        <f>IF((F148+G148)&gt;0,F148/(F148+G148),"")</f>
        <v/>
      </c>
      <c r="J148" s="13">
        <f>IF((F148+H148)&gt;0,F148/(F148+H148),"")</f>
        <v/>
      </c>
      <c r="K148" s="13">
        <f>IF(AND(ISNUMBER(I148),ISNUMBER(J148),(I148+J148)&gt;0),2*I148*J148/(I148+J148),"")</f>
        <v/>
      </c>
    </row>
    <row r="149">
      <c r="I149" s="13">
        <f>IF((F149+G149)&gt;0,F149/(F149+G149),"")</f>
        <v/>
      </c>
      <c r="J149" s="13">
        <f>IF((F149+H149)&gt;0,F149/(F149+H149),"")</f>
        <v/>
      </c>
      <c r="K149" s="13">
        <f>IF(AND(ISNUMBER(I149),ISNUMBER(J149),(I149+J149)&gt;0),2*I149*J149/(I149+J149),"")</f>
        <v/>
      </c>
    </row>
    <row r="150">
      <c r="I150" s="13">
        <f>IF((F150+G150)&gt;0,F150/(F150+G150),"")</f>
        <v/>
      </c>
      <c r="J150" s="13">
        <f>IF((F150+H150)&gt;0,F150/(F150+H150),"")</f>
        <v/>
      </c>
      <c r="K150" s="13">
        <f>IF(AND(ISNUMBER(I150),ISNUMBER(J150),(I150+J150)&gt;0),2*I150*J150/(I150+J150),"")</f>
        <v/>
      </c>
    </row>
    <row r="151">
      <c r="I151" s="13">
        <f>IF((F151+G151)&gt;0,F151/(F151+G151),"")</f>
        <v/>
      </c>
      <c r="J151" s="13">
        <f>IF((F151+H151)&gt;0,F151/(F151+H151),"")</f>
        <v/>
      </c>
      <c r="K151" s="13">
        <f>IF(AND(ISNUMBER(I151),ISNUMBER(J151),(I151+J151)&gt;0),2*I151*J151/(I151+J151),"")</f>
        <v/>
      </c>
    </row>
    <row r="152">
      <c r="I152" s="13">
        <f>IF((F152+G152)&gt;0,F152/(F152+G152),"")</f>
        <v/>
      </c>
      <c r="J152" s="13">
        <f>IF((F152+H152)&gt;0,F152/(F152+H152),"")</f>
        <v/>
      </c>
      <c r="K152" s="13">
        <f>IF(AND(ISNUMBER(I152),ISNUMBER(J152),(I152+J152)&gt;0),2*I152*J152/(I152+J152),"")</f>
        <v/>
      </c>
    </row>
    <row r="153">
      <c r="I153" s="13">
        <f>IF((F153+G153)&gt;0,F153/(F153+G153),"")</f>
        <v/>
      </c>
      <c r="J153" s="13">
        <f>IF((F153+H153)&gt;0,F153/(F153+H153),"")</f>
        <v/>
      </c>
      <c r="K153" s="13">
        <f>IF(AND(ISNUMBER(I153),ISNUMBER(J153),(I153+J153)&gt;0),2*I153*J153/(I153+J153),"")</f>
        <v/>
      </c>
    </row>
    <row r="154">
      <c r="I154" s="13">
        <f>IF((F154+G154)&gt;0,F154/(F154+G154),"")</f>
        <v/>
      </c>
      <c r="J154" s="13">
        <f>IF((F154+H154)&gt;0,F154/(F154+H154),"")</f>
        <v/>
      </c>
      <c r="K154" s="13">
        <f>IF(AND(ISNUMBER(I154),ISNUMBER(J154),(I154+J154)&gt;0),2*I154*J154/(I154+J154),"")</f>
        <v/>
      </c>
    </row>
    <row r="155">
      <c r="I155" s="13">
        <f>IF((F155+G155)&gt;0,F155/(F155+G155),"")</f>
        <v/>
      </c>
      <c r="J155" s="13">
        <f>IF((F155+H155)&gt;0,F155/(F155+H155),"")</f>
        <v/>
      </c>
      <c r="K155" s="13">
        <f>IF(AND(ISNUMBER(I155),ISNUMBER(J155),(I155+J155)&gt;0),2*I155*J155/(I155+J155),"")</f>
        <v/>
      </c>
    </row>
    <row r="156">
      <c r="I156" s="13">
        <f>IF((F156+G156)&gt;0,F156/(F156+G156),"")</f>
        <v/>
      </c>
      <c r="J156" s="13">
        <f>IF((F156+H156)&gt;0,F156/(F156+H156),"")</f>
        <v/>
      </c>
      <c r="K156" s="13">
        <f>IF(AND(ISNUMBER(I156),ISNUMBER(J156),(I156+J156)&gt;0),2*I156*J156/(I156+J156),"")</f>
        <v/>
      </c>
    </row>
    <row r="157">
      <c r="I157" s="13">
        <f>IF((F157+G157)&gt;0,F157/(F157+G157),"")</f>
        <v/>
      </c>
      <c r="J157" s="13">
        <f>IF((F157+H157)&gt;0,F157/(F157+H157),"")</f>
        <v/>
      </c>
      <c r="K157" s="13">
        <f>IF(AND(ISNUMBER(I157),ISNUMBER(J157),(I157+J157)&gt;0),2*I157*J157/(I157+J157),"")</f>
        <v/>
      </c>
    </row>
    <row r="158">
      <c r="I158" s="13">
        <f>IF((F158+G158)&gt;0,F158/(F158+G158),"")</f>
        <v/>
      </c>
      <c r="J158" s="13">
        <f>IF((F158+H158)&gt;0,F158/(F158+H158),"")</f>
        <v/>
      </c>
      <c r="K158" s="13">
        <f>IF(AND(ISNUMBER(I158),ISNUMBER(J158),(I158+J158)&gt;0),2*I158*J158/(I158+J158),"")</f>
        <v/>
      </c>
    </row>
    <row r="159">
      <c r="I159" s="13">
        <f>IF((F159+G159)&gt;0,F159/(F159+G159),"")</f>
        <v/>
      </c>
      <c r="J159" s="13">
        <f>IF((F159+H159)&gt;0,F159/(F159+H159),"")</f>
        <v/>
      </c>
      <c r="K159" s="13">
        <f>IF(AND(ISNUMBER(I159),ISNUMBER(J159),(I159+J159)&gt;0),2*I159*J159/(I159+J159),"")</f>
        <v/>
      </c>
    </row>
    <row r="160">
      <c r="I160" s="13">
        <f>IF((F160+G160)&gt;0,F160/(F160+G160),"")</f>
        <v/>
      </c>
      <c r="J160" s="13">
        <f>IF((F160+H160)&gt;0,F160/(F160+H160),"")</f>
        <v/>
      </c>
      <c r="K160" s="13">
        <f>IF(AND(ISNUMBER(I160),ISNUMBER(J160),(I160+J160)&gt;0),2*I160*J160/(I160+J160),"")</f>
        <v/>
      </c>
    </row>
    <row r="161">
      <c r="I161" s="13">
        <f>IF((F161+G161)&gt;0,F161/(F161+G161),"")</f>
        <v/>
      </c>
      <c r="J161" s="13">
        <f>IF((F161+H161)&gt;0,F161/(F161+H161),"")</f>
        <v/>
      </c>
      <c r="K161" s="13">
        <f>IF(AND(ISNUMBER(I161),ISNUMBER(J161),(I161+J161)&gt;0),2*I161*J161/(I161+J161),"")</f>
        <v/>
      </c>
    </row>
    <row r="162">
      <c r="I162" s="13">
        <f>IF((F162+G162)&gt;0,F162/(F162+G162),"")</f>
        <v/>
      </c>
      <c r="J162" s="13">
        <f>IF((F162+H162)&gt;0,F162/(F162+H162),"")</f>
        <v/>
      </c>
      <c r="K162" s="13">
        <f>IF(AND(ISNUMBER(I162),ISNUMBER(J162),(I162+J162)&gt;0),2*I162*J162/(I162+J162),"")</f>
        <v/>
      </c>
    </row>
    <row r="163">
      <c r="I163" s="13">
        <f>IF((F163+G163)&gt;0,F163/(F163+G163),"")</f>
        <v/>
      </c>
      <c r="J163" s="13">
        <f>IF((F163+H163)&gt;0,F163/(F163+H163),"")</f>
        <v/>
      </c>
      <c r="K163" s="13">
        <f>IF(AND(ISNUMBER(I163),ISNUMBER(J163),(I163+J163)&gt;0),2*I163*J163/(I163+J163),"")</f>
        <v/>
      </c>
    </row>
    <row r="164">
      <c r="I164" s="13">
        <f>IF((F164+G164)&gt;0,F164/(F164+G164),"")</f>
        <v/>
      </c>
      <c r="J164" s="13">
        <f>IF((F164+H164)&gt;0,F164/(F164+H164),"")</f>
        <v/>
      </c>
      <c r="K164" s="13">
        <f>IF(AND(ISNUMBER(I164),ISNUMBER(J164),(I164+J164)&gt;0),2*I164*J164/(I164+J164),"")</f>
        <v/>
      </c>
    </row>
    <row r="165">
      <c r="I165" s="13">
        <f>IF((F165+G165)&gt;0,F165/(F165+G165),"")</f>
        <v/>
      </c>
      <c r="J165" s="13">
        <f>IF((F165+H165)&gt;0,F165/(F165+H165),"")</f>
        <v/>
      </c>
      <c r="K165" s="13">
        <f>IF(AND(ISNUMBER(I165),ISNUMBER(J165),(I165+J165)&gt;0),2*I165*J165/(I165+J165),"")</f>
        <v/>
      </c>
    </row>
    <row r="166">
      <c r="I166" s="13">
        <f>IF((F166+G166)&gt;0,F166/(F166+G166),"")</f>
        <v/>
      </c>
      <c r="J166" s="13">
        <f>IF((F166+H166)&gt;0,F166/(F166+H166),"")</f>
        <v/>
      </c>
      <c r="K166" s="13">
        <f>IF(AND(ISNUMBER(I166),ISNUMBER(J166),(I166+J166)&gt;0),2*I166*J166/(I166+J166),"")</f>
        <v/>
      </c>
    </row>
    <row r="167">
      <c r="I167" s="13">
        <f>IF((F167+G167)&gt;0,F167/(F167+G167),"")</f>
        <v/>
      </c>
      <c r="J167" s="13">
        <f>IF((F167+H167)&gt;0,F167/(F167+H167),"")</f>
        <v/>
      </c>
      <c r="K167" s="13">
        <f>IF(AND(ISNUMBER(I167),ISNUMBER(J167),(I167+J167)&gt;0),2*I167*J167/(I167+J167),"")</f>
        <v/>
      </c>
    </row>
    <row r="168">
      <c r="I168" s="13">
        <f>IF((F168+G168)&gt;0,F168/(F168+G168),"")</f>
        <v/>
      </c>
      <c r="J168" s="13">
        <f>IF((F168+H168)&gt;0,F168/(F168+H168),"")</f>
        <v/>
      </c>
      <c r="K168" s="13">
        <f>IF(AND(ISNUMBER(I168),ISNUMBER(J168),(I168+J168)&gt;0),2*I168*J168/(I168+J168),"")</f>
        <v/>
      </c>
    </row>
    <row r="169">
      <c r="I169" s="13">
        <f>IF((F169+G169)&gt;0,F169/(F169+G169),"")</f>
        <v/>
      </c>
      <c r="J169" s="13">
        <f>IF((F169+H169)&gt;0,F169/(F169+H169),"")</f>
        <v/>
      </c>
      <c r="K169" s="13">
        <f>IF(AND(ISNUMBER(I169),ISNUMBER(J169),(I169+J169)&gt;0),2*I169*J169/(I169+J169),"")</f>
        <v/>
      </c>
    </row>
    <row r="170">
      <c r="I170" s="13">
        <f>IF((F170+G170)&gt;0,F170/(F170+G170),"")</f>
        <v/>
      </c>
      <c r="J170" s="13">
        <f>IF((F170+H170)&gt;0,F170/(F170+H170),"")</f>
        <v/>
      </c>
      <c r="K170" s="13">
        <f>IF(AND(ISNUMBER(I170),ISNUMBER(J170),(I170+J170)&gt;0),2*I170*J170/(I170+J170),"")</f>
        <v/>
      </c>
    </row>
    <row r="171">
      <c r="I171" s="13">
        <f>IF((F171+G171)&gt;0,F171/(F171+G171),"")</f>
        <v/>
      </c>
      <c r="J171" s="13">
        <f>IF((F171+H171)&gt;0,F171/(F171+H171),"")</f>
        <v/>
      </c>
      <c r="K171" s="13">
        <f>IF(AND(ISNUMBER(I171),ISNUMBER(J171),(I171+J171)&gt;0),2*I171*J171/(I171+J171),"")</f>
        <v/>
      </c>
    </row>
    <row r="172">
      <c r="I172" s="13">
        <f>IF((F172+G172)&gt;0,F172/(F172+G172),"")</f>
        <v/>
      </c>
      <c r="J172" s="13">
        <f>IF((F172+H172)&gt;0,F172/(F172+H172),"")</f>
        <v/>
      </c>
      <c r="K172" s="13">
        <f>IF(AND(ISNUMBER(I172),ISNUMBER(J172),(I172+J172)&gt;0),2*I172*J172/(I172+J172),"")</f>
        <v/>
      </c>
    </row>
    <row r="173">
      <c r="I173" s="13">
        <f>IF((F173+G173)&gt;0,F173/(F173+G173),"")</f>
        <v/>
      </c>
      <c r="J173" s="13">
        <f>IF((F173+H173)&gt;0,F173/(F173+H173),"")</f>
        <v/>
      </c>
      <c r="K173" s="13">
        <f>IF(AND(ISNUMBER(I173),ISNUMBER(J173),(I173+J173)&gt;0),2*I173*J173/(I173+J173),"")</f>
        <v/>
      </c>
    </row>
    <row r="174">
      <c r="I174" s="13">
        <f>IF((F174+G174)&gt;0,F174/(F174+G174),"")</f>
        <v/>
      </c>
      <c r="J174" s="13">
        <f>IF((F174+H174)&gt;0,F174/(F174+H174),"")</f>
        <v/>
      </c>
      <c r="K174" s="13">
        <f>IF(AND(ISNUMBER(I174),ISNUMBER(J174),(I174+J174)&gt;0),2*I174*J174/(I174+J174),"")</f>
        <v/>
      </c>
    </row>
    <row r="175">
      <c r="I175" s="13">
        <f>IF((F175+G175)&gt;0,F175/(F175+G175),"")</f>
        <v/>
      </c>
      <c r="J175" s="13">
        <f>IF((F175+H175)&gt;0,F175/(F175+H175),"")</f>
        <v/>
      </c>
      <c r="K175" s="13">
        <f>IF(AND(ISNUMBER(I175),ISNUMBER(J175),(I175+J175)&gt;0),2*I175*J175/(I175+J175),"")</f>
        <v/>
      </c>
    </row>
    <row r="176">
      <c r="I176" s="13">
        <f>IF((F176+G176)&gt;0,F176/(F176+G176),"")</f>
        <v/>
      </c>
      <c r="J176" s="13">
        <f>IF((F176+H176)&gt;0,F176/(F176+H176),"")</f>
        <v/>
      </c>
      <c r="K176" s="13">
        <f>IF(AND(ISNUMBER(I176),ISNUMBER(J176),(I176+J176)&gt;0),2*I176*J176/(I176+J176),"")</f>
        <v/>
      </c>
    </row>
    <row r="177">
      <c r="I177" s="13">
        <f>IF((F177+G177)&gt;0,F177/(F177+G177),"")</f>
        <v/>
      </c>
      <c r="J177" s="13">
        <f>IF((F177+H177)&gt;0,F177/(F177+H177),"")</f>
        <v/>
      </c>
      <c r="K177" s="13">
        <f>IF(AND(ISNUMBER(I177),ISNUMBER(J177),(I177+J177)&gt;0),2*I177*J177/(I177+J177),"")</f>
        <v/>
      </c>
    </row>
    <row r="178">
      <c r="I178" s="13">
        <f>IF((F178+G178)&gt;0,F178/(F178+G178),"")</f>
        <v/>
      </c>
      <c r="J178" s="13">
        <f>IF((F178+H178)&gt;0,F178/(F178+H178),"")</f>
        <v/>
      </c>
      <c r="K178" s="13">
        <f>IF(AND(ISNUMBER(I178),ISNUMBER(J178),(I178+J178)&gt;0),2*I178*J178/(I178+J178),"")</f>
        <v/>
      </c>
    </row>
    <row r="179">
      <c r="I179" s="13">
        <f>IF((F179+G179)&gt;0,F179/(F179+G179),"")</f>
        <v/>
      </c>
      <c r="J179" s="13">
        <f>IF((F179+H179)&gt;0,F179/(F179+H179),"")</f>
        <v/>
      </c>
      <c r="K179" s="13">
        <f>IF(AND(ISNUMBER(I179),ISNUMBER(J179),(I179+J179)&gt;0),2*I179*J179/(I179+J179),"")</f>
        <v/>
      </c>
    </row>
    <row r="180">
      <c r="I180" s="13">
        <f>IF((F180+G180)&gt;0,F180/(F180+G180),"")</f>
        <v/>
      </c>
      <c r="J180" s="13">
        <f>IF((F180+H180)&gt;0,F180/(F180+H180),"")</f>
        <v/>
      </c>
      <c r="K180" s="13">
        <f>IF(AND(ISNUMBER(I180),ISNUMBER(J180),(I180+J180)&gt;0),2*I180*J180/(I180+J180),"")</f>
        <v/>
      </c>
    </row>
    <row r="181">
      <c r="I181" s="13">
        <f>IF((F181+G181)&gt;0,F181/(F181+G181),"")</f>
        <v/>
      </c>
      <c r="J181" s="13">
        <f>IF((F181+H181)&gt;0,F181/(F181+H181),"")</f>
        <v/>
      </c>
      <c r="K181" s="13">
        <f>IF(AND(ISNUMBER(I181),ISNUMBER(J181),(I181+J181)&gt;0),2*I181*J181/(I181+J181),"")</f>
        <v/>
      </c>
    </row>
    <row r="182">
      <c r="I182" s="13">
        <f>IF((F182+G182)&gt;0,F182/(F182+G182),"")</f>
        <v/>
      </c>
      <c r="J182" s="13">
        <f>IF((F182+H182)&gt;0,F182/(F182+H182),"")</f>
        <v/>
      </c>
      <c r="K182" s="13">
        <f>IF(AND(ISNUMBER(I182),ISNUMBER(J182),(I182+J182)&gt;0),2*I182*J182/(I182+J182),"")</f>
        <v/>
      </c>
    </row>
    <row r="183">
      <c r="I183" s="13">
        <f>IF((F183+G183)&gt;0,F183/(F183+G183),"")</f>
        <v/>
      </c>
      <c r="J183" s="13">
        <f>IF((F183+H183)&gt;0,F183/(F183+H183),"")</f>
        <v/>
      </c>
      <c r="K183" s="13">
        <f>IF(AND(ISNUMBER(I183),ISNUMBER(J183),(I183+J183)&gt;0),2*I183*J183/(I183+J183),"")</f>
        <v/>
      </c>
    </row>
    <row r="184">
      <c r="I184" s="13">
        <f>IF((F184+G184)&gt;0,F184/(F184+G184),"")</f>
        <v/>
      </c>
      <c r="J184" s="13">
        <f>IF((F184+H184)&gt;0,F184/(F184+H184),"")</f>
        <v/>
      </c>
      <c r="K184" s="13">
        <f>IF(AND(ISNUMBER(I184),ISNUMBER(J184),(I184+J184)&gt;0),2*I184*J184/(I184+J184),"")</f>
        <v/>
      </c>
    </row>
    <row r="185">
      <c r="I185" s="13">
        <f>IF((F185+G185)&gt;0,F185/(F185+G185),"")</f>
        <v/>
      </c>
      <c r="J185" s="13">
        <f>IF((F185+H185)&gt;0,F185/(F185+H185),"")</f>
        <v/>
      </c>
      <c r="K185" s="13">
        <f>IF(AND(ISNUMBER(I185),ISNUMBER(J185),(I185+J185)&gt;0),2*I185*J185/(I185+J185),"")</f>
        <v/>
      </c>
    </row>
    <row r="186">
      <c r="I186" s="13">
        <f>IF((F186+G186)&gt;0,F186/(F186+G186),"")</f>
        <v/>
      </c>
      <c r="J186" s="13">
        <f>IF((F186+H186)&gt;0,F186/(F186+H186),"")</f>
        <v/>
      </c>
      <c r="K186" s="13">
        <f>IF(AND(ISNUMBER(I186),ISNUMBER(J186),(I186+J186)&gt;0),2*I186*J186/(I186+J186),"")</f>
        <v/>
      </c>
    </row>
    <row r="187">
      <c r="I187" s="13">
        <f>IF((F187+G187)&gt;0,F187/(F187+G187),"")</f>
        <v/>
      </c>
      <c r="J187" s="13">
        <f>IF((F187+H187)&gt;0,F187/(F187+H187),"")</f>
        <v/>
      </c>
      <c r="K187" s="13">
        <f>IF(AND(ISNUMBER(I187),ISNUMBER(J187),(I187+J187)&gt;0),2*I187*J187/(I187+J187),"")</f>
        <v/>
      </c>
    </row>
    <row r="188">
      <c r="I188" s="13">
        <f>IF((F188+G188)&gt;0,F188/(F188+G188),"")</f>
        <v/>
      </c>
      <c r="J188" s="13">
        <f>IF((F188+H188)&gt;0,F188/(F188+H188),"")</f>
        <v/>
      </c>
      <c r="K188" s="13">
        <f>IF(AND(ISNUMBER(I188),ISNUMBER(J188),(I188+J188)&gt;0),2*I188*J188/(I188+J188),"")</f>
        <v/>
      </c>
    </row>
    <row r="189">
      <c r="I189" s="13">
        <f>IF((F189+G189)&gt;0,F189/(F189+G189),"")</f>
        <v/>
      </c>
      <c r="J189" s="13">
        <f>IF((F189+H189)&gt;0,F189/(F189+H189),"")</f>
        <v/>
      </c>
      <c r="K189" s="13">
        <f>IF(AND(ISNUMBER(I189),ISNUMBER(J189),(I189+J189)&gt;0),2*I189*J189/(I189+J189),"")</f>
        <v/>
      </c>
    </row>
    <row r="190">
      <c r="I190" s="13">
        <f>IF((F190+G190)&gt;0,F190/(F190+G190),"")</f>
        <v/>
      </c>
      <c r="J190" s="13">
        <f>IF((F190+H190)&gt;0,F190/(F190+H190),"")</f>
        <v/>
      </c>
      <c r="K190" s="13">
        <f>IF(AND(ISNUMBER(I190),ISNUMBER(J190),(I190+J190)&gt;0),2*I190*J190/(I190+J190),"")</f>
        <v/>
      </c>
    </row>
    <row r="191">
      <c r="I191" s="13">
        <f>IF((F191+G191)&gt;0,F191/(F191+G191),"")</f>
        <v/>
      </c>
      <c r="J191" s="13">
        <f>IF((F191+H191)&gt;0,F191/(F191+H191),"")</f>
        <v/>
      </c>
      <c r="K191" s="13">
        <f>IF(AND(ISNUMBER(I191),ISNUMBER(J191),(I191+J191)&gt;0),2*I191*J191/(I191+J191),"")</f>
        <v/>
      </c>
    </row>
    <row r="192">
      <c r="I192" s="13">
        <f>IF((F192+G192)&gt;0,F192/(F192+G192),"")</f>
        <v/>
      </c>
      <c r="J192" s="13">
        <f>IF((F192+H192)&gt;0,F192/(F192+H192),"")</f>
        <v/>
      </c>
      <c r="K192" s="13">
        <f>IF(AND(ISNUMBER(I192),ISNUMBER(J192),(I192+J192)&gt;0),2*I192*J192/(I192+J192),"")</f>
        <v/>
      </c>
    </row>
    <row r="193">
      <c r="I193" s="13">
        <f>IF((F193+G193)&gt;0,F193/(F193+G193),"")</f>
        <v/>
      </c>
      <c r="J193" s="13">
        <f>IF((F193+H193)&gt;0,F193/(F193+H193),"")</f>
        <v/>
      </c>
      <c r="K193" s="13">
        <f>IF(AND(ISNUMBER(I193),ISNUMBER(J193),(I193+J193)&gt;0),2*I193*J193/(I193+J193),"")</f>
        <v/>
      </c>
    </row>
    <row r="194">
      <c r="I194" s="13">
        <f>IF((F194+G194)&gt;0,F194/(F194+G194),"")</f>
        <v/>
      </c>
      <c r="J194" s="13">
        <f>IF((F194+H194)&gt;0,F194/(F194+H194),"")</f>
        <v/>
      </c>
      <c r="K194" s="13">
        <f>IF(AND(ISNUMBER(I194),ISNUMBER(J194),(I194+J194)&gt;0),2*I194*J194/(I194+J194),"")</f>
        <v/>
      </c>
    </row>
    <row r="195">
      <c r="I195" s="13">
        <f>IF((F195+G195)&gt;0,F195/(F195+G195),"")</f>
        <v/>
      </c>
      <c r="J195" s="13">
        <f>IF((F195+H195)&gt;0,F195/(F195+H195),"")</f>
        <v/>
      </c>
      <c r="K195" s="13">
        <f>IF(AND(ISNUMBER(I195),ISNUMBER(J195),(I195+J195)&gt;0),2*I195*J195/(I195+J195),"")</f>
        <v/>
      </c>
    </row>
    <row r="196">
      <c r="I196" s="13">
        <f>IF((F196+G196)&gt;0,F196/(F196+G196),"")</f>
        <v/>
      </c>
      <c r="J196" s="13">
        <f>IF((F196+H196)&gt;0,F196/(F196+H196),"")</f>
        <v/>
      </c>
      <c r="K196" s="13">
        <f>IF(AND(ISNUMBER(I196),ISNUMBER(J196),(I196+J196)&gt;0),2*I196*J196/(I196+J196),"")</f>
        <v/>
      </c>
    </row>
    <row r="197">
      <c r="I197" s="13">
        <f>IF((F197+G197)&gt;0,F197/(F197+G197),"")</f>
        <v/>
      </c>
      <c r="J197" s="13">
        <f>IF((F197+H197)&gt;0,F197/(F197+H197),"")</f>
        <v/>
      </c>
      <c r="K197" s="13">
        <f>IF(AND(ISNUMBER(I197),ISNUMBER(J197),(I197+J197)&gt;0),2*I197*J197/(I197+J197),"")</f>
        <v/>
      </c>
    </row>
    <row r="198">
      <c r="I198" s="13">
        <f>IF((F198+G198)&gt;0,F198/(F198+G198),"")</f>
        <v/>
      </c>
      <c r="J198" s="13">
        <f>IF((F198+H198)&gt;0,F198/(F198+H198),"")</f>
        <v/>
      </c>
      <c r="K198" s="13">
        <f>IF(AND(ISNUMBER(I198),ISNUMBER(J198),(I198+J198)&gt;0),2*I198*J198/(I198+J198),"")</f>
        <v/>
      </c>
    </row>
    <row r="199">
      <c r="I199" s="13">
        <f>IF((F199+G199)&gt;0,F199/(F199+G199),"")</f>
        <v/>
      </c>
      <c r="J199" s="13">
        <f>IF((F199+H199)&gt;0,F199/(F199+H199),"")</f>
        <v/>
      </c>
      <c r="K199" s="13">
        <f>IF(AND(ISNUMBER(I199),ISNUMBER(J199),(I199+J199)&gt;0),2*I199*J199/(I199+J199),"")</f>
        <v/>
      </c>
    </row>
    <row r="200">
      <c r="I200" s="13">
        <f>IF((F200+G200)&gt;0,F200/(F200+G200),"")</f>
        <v/>
      </c>
      <c r="J200" s="13">
        <f>IF((F200+H200)&gt;0,F200/(F200+H200),"")</f>
        <v/>
      </c>
      <c r="K200" s="13">
        <f>IF(AND(ISNUMBER(I200),ISNUMBER(J200),(I200+J200)&gt;0),2*I200*J200/(I200+J200),"")</f>
        <v/>
      </c>
    </row>
    <row r="201">
      <c r="I201" s="13">
        <f>IF((F201+G201)&gt;0,F201/(F201+G201),"")</f>
        <v/>
      </c>
      <c r="J201" s="13">
        <f>IF((F201+H201)&gt;0,F201/(F201+H201),"")</f>
        <v/>
      </c>
      <c r="K201" s="13">
        <f>IF(AND(ISNUMBER(I201),ISNUMBER(J201),(I201+J201)&gt;0),2*I201*J201/(I201+J201),"")</f>
        <v/>
      </c>
    </row>
    <row r="202">
      <c r="I202" s="13">
        <f>IF((F202+G202)&gt;0,F202/(F202+G202),"")</f>
        <v/>
      </c>
      <c r="J202" s="13">
        <f>IF((F202+H202)&gt;0,F202/(F202+H202),"")</f>
        <v/>
      </c>
      <c r="K202" s="13">
        <f>IF(AND(ISNUMBER(I202),ISNUMBER(J202),(I202+J202)&gt;0),2*I202*J202/(I202+J202),"")</f>
        <v/>
      </c>
    </row>
    <row r="203">
      <c r="I203" s="13">
        <f>IF((F203+G203)&gt;0,F203/(F203+G203),"")</f>
        <v/>
      </c>
      <c r="J203" s="13">
        <f>IF((F203+H203)&gt;0,F203/(F203+H203),"")</f>
        <v/>
      </c>
      <c r="K203" s="13">
        <f>IF(AND(ISNUMBER(I203),ISNUMBER(J203),(I203+J203)&gt;0),2*I203*J203/(I203+J203),"")</f>
        <v/>
      </c>
    </row>
    <row r="204">
      <c r="I204" s="13">
        <f>IF((F204+G204)&gt;0,F204/(F204+G204),"")</f>
        <v/>
      </c>
      <c r="J204" s="13">
        <f>IF((F204+H204)&gt;0,F204/(F204+H204),"")</f>
        <v/>
      </c>
      <c r="K204" s="13">
        <f>IF(AND(ISNUMBER(I204),ISNUMBER(J204),(I204+J204)&gt;0),2*I204*J204/(I204+J204),"")</f>
        <v/>
      </c>
    </row>
    <row r="205">
      <c r="I205" s="13">
        <f>IF((F205+G205)&gt;0,F205/(F205+G205),"")</f>
        <v/>
      </c>
      <c r="J205" s="13">
        <f>IF((F205+H205)&gt;0,F205/(F205+H205),"")</f>
        <v/>
      </c>
      <c r="K205" s="13">
        <f>IF(AND(ISNUMBER(I205),ISNUMBER(J205),(I205+J205)&gt;0),2*I205*J205/(I205+J205),"")</f>
        <v/>
      </c>
    </row>
    <row r="206">
      <c r="I206" s="13">
        <f>IF((F206+G206)&gt;0,F206/(F206+G206),"")</f>
        <v/>
      </c>
      <c r="J206" s="13">
        <f>IF((F206+H206)&gt;0,F206/(F206+H206),"")</f>
        <v/>
      </c>
      <c r="K206" s="13">
        <f>IF(AND(ISNUMBER(I206),ISNUMBER(J206),(I206+J206)&gt;0),2*I206*J206/(I206+J206),"")</f>
        <v/>
      </c>
    </row>
    <row r="207">
      <c r="I207" s="13">
        <f>IF((F207+G207)&gt;0,F207/(F207+G207),"")</f>
        <v/>
      </c>
      <c r="J207" s="13">
        <f>IF((F207+H207)&gt;0,F207/(F207+H207),"")</f>
        <v/>
      </c>
      <c r="K207" s="13">
        <f>IF(AND(ISNUMBER(I207),ISNUMBER(J207),(I207+J207)&gt;0),2*I207*J207/(I207+J207),"")</f>
        <v/>
      </c>
    </row>
    <row r="208">
      <c r="I208" s="13">
        <f>IF((F208+G208)&gt;0,F208/(F208+G208),"")</f>
        <v/>
      </c>
      <c r="J208" s="13">
        <f>IF((F208+H208)&gt;0,F208/(F208+H208),"")</f>
        <v/>
      </c>
      <c r="K208" s="13">
        <f>IF(AND(ISNUMBER(I208),ISNUMBER(J208),(I208+J208)&gt;0),2*I208*J208/(I208+J208),"")</f>
        <v/>
      </c>
    </row>
    <row r="209">
      <c r="I209" s="13">
        <f>IF((F209+G209)&gt;0,F209/(F209+G209),"")</f>
        <v/>
      </c>
      <c r="J209" s="13">
        <f>IF((F209+H209)&gt;0,F209/(F209+H209),"")</f>
        <v/>
      </c>
      <c r="K209" s="13">
        <f>IF(AND(ISNUMBER(I209),ISNUMBER(J209),(I209+J209)&gt;0),2*I209*J209/(I209+J209),"")</f>
        <v/>
      </c>
    </row>
    <row r="210">
      <c r="I210" s="13">
        <f>IF((F210+G210)&gt;0,F210/(F210+G210),"")</f>
        <v/>
      </c>
      <c r="J210" s="13">
        <f>IF((F210+H210)&gt;0,F210/(F210+H210),"")</f>
        <v/>
      </c>
      <c r="K210" s="13">
        <f>IF(AND(ISNUMBER(I210),ISNUMBER(J210),(I210+J210)&gt;0),2*I210*J210/(I210+J210),"")</f>
        <v/>
      </c>
    </row>
    <row r="211">
      <c r="I211" s="13">
        <f>IF((F211+G211)&gt;0,F211/(F211+G211),"")</f>
        <v/>
      </c>
      <c r="J211" s="13">
        <f>IF((F211+H211)&gt;0,F211/(F211+H211),"")</f>
        <v/>
      </c>
      <c r="K211" s="13">
        <f>IF(AND(ISNUMBER(I211),ISNUMBER(J211),(I211+J211)&gt;0),2*I211*J211/(I211+J211),"")</f>
        <v/>
      </c>
    </row>
    <row r="212">
      <c r="I212" s="13">
        <f>IF((F212+G212)&gt;0,F212/(F212+G212),"")</f>
        <v/>
      </c>
      <c r="J212" s="13">
        <f>IF((F212+H212)&gt;0,F212/(F212+H212),"")</f>
        <v/>
      </c>
      <c r="K212" s="13">
        <f>IF(AND(ISNUMBER(I212),ISNUMBER(J212),(I212+J212)&gt;0),2*I212*J212/(I212+J212),"")</f>
        <v/>
      </c>
    </row>
    <row r="213">
      <c r="I213" s="13">
        <f>IF((F213+G213)&gt;0,F213/(F213+G213),"")</f>
        <v/>
      </c>
      <c r="J213" s="13">
        <f>IF((F213+H213)&gt;0,F213/(F213+H213),"")</f>
        <v/>
      </c>
      <c r="K213" s="13">
        <f>IF(AND(ISNUMBER(I213),ISNUMBER(J213),(I213+J213)&gt;0),2*I213*J213/(I213+J213),"")</f>
        <v/>
      </c>
    </row>
    <row r="214">
      <c r="I214" s="13">
        <f>IF((F214+G214)&gt;0,F214/(F214+G214),"")</f>
        <v/>
      </c>
      <c r="J214" s="13">
        <f>IF((F214+H214)&gt;0,F214/(F214+H214),"")</f>
        <v/>
      </c>
      <c r="K214" s="13">
        <f>IF(AND(ISNUMBER(I214),ISNUMBER(J214),(I214+J214)&gt;0),2*I214*J214/(I214+J214),"")</f>
        <v/>
      </c>
    </row>
    <row r="215">
      <c r="I215" s="13">
        <f>IF((F215+G215)&gt;0,F215/(F215+G215),"")</f>
        <v/>
      </c>
      <c r="J215" s="13">
        <f>IF((F215+H215)&gt;0,F215/(F215+H215),"")</f>
        <v/>
      </c>
      <c r="K215" s="13">
        <f>IF(AND(ISNUMBER(I215),ISNUMBER(J215),(I215+J215)&gt;0),2*I215*J215/(I215+J215),"")</f>
        <v/>
      </c>
    </row>
    <row r="216">
      <c r="I216" s="13">
        <f>IF((F216+G216)&gt;0,F216/(F216+G216),"")</f>
        <v/>
      </c>
      <c r="J216" s="13">
        <f>IF((F216+H216)&gt;0,F216/(F216+H216),"")</f>
        <v/>
      </c>
      <c r="K216" s="13">
        <f>IF(AND(ISNUMBER(I216),ISNUMBER(J216),(I216+J216)&gt;0),2*I216*J216/(I216+J216),"")</f>
        <v/>
      </c>
    </row>
    <row r="217">
      <c r="I217" s="13">
        <f>IF((F217+G217)&gt;0,F217/(F217+G217),"")</f>
        <v/>
      </c>
      <c r="J217" s="13">
        <f>IF((F217+H217)&gt;0,F217/(F217+H217),"")</f>
        <v/>
      </c>
      <c r="K217" s="13">
        <f>IF(AND(ISNUMBER(I217),ISNUMBER(J217),(I217+J217)&gt;0),2*I217*J217/(I217+J217),"")</f>
        <v/>
      </c>
    </row>
    <row r="218">
      <c r="I218" s="13">
        <f>IF((F218+G218)&gt;0,F218/(F218+G218),"")</f>
        <v/>
      </c>
      <c r="J218" s="13">
        <f>IF((F218+H218)&gt;0,F218/(F218+H218),"")</f>
        <v/>
      </c>
      <c r="K218" s="13">
        <f>IF(AND(ISNUMBER(I218),ISNUMBER(J218),(I218+J218)&gt;0),2*I218*J218/(I218+J218),"")</f>
        <v/>
      </c>
    </row>
    <row r="219">
      <c r="I219" s="13">
        <f>IF((F219+G219)&gt;0,F219/(F219+G219),"")</f>
        <v/>
      </c>
      <c r="J219" s="13">
        <f>IF((F219+H219)&gt;0,F219/(F219+H219),"")</f>
        <v/>
      </c>
      <c r="K219" s="13">
        <f>IF(AND(ISNUMBER(I219),ISNUMBER(J219),(I219+J219)&gt;0),2*I219*J219/(I219+J219),"")</f>
        <v/>
      </c>
    </row>
    <row r="220">
      <c r="I220" s="13">
        <f>IF((F220+G220)&gt;0,F220/(F220+G220),"")</f>
        <v/>
      </c>
      <c r="J220" s="13">
        <f>IF((F220+H220)&gt;0,F220/(F220+H220),"")</f>
        <v/>
      </c>
      <c r="K220" s="13">
        <f>IF(AND(ISNUMBER(I220),ISNUMBER(J220),(I220+J220)&gt;0),2*I220*J220/(I220+J220),"")</f>
        <v/>
      </c>
    </row>
    <row r="221">
      <c r="I221" s="13">
        <f>IF((F221+G221)&gt;0,F221/(F221+G221),"")</f>
        <v/>
      </c>
      <c r="J221" s="13">
        <f>IF((F221+H221)&gt;0,F221/(F221+H221),"")</f>
        <v/>
      </c>
      <c r="K221" s="13">
        <f>IF(AND(ISNUMBER(I221),ISNUMBER(J221),(I221+J221)&gt;0),2*I221*J221/(I221+J221),"")</f>
        <v/>
      </c>
    </row>
    <row r="222">
      <c r="I222" s="13">
        <f>IF((F222+G222)&gt;0,F222/(F222+G222),"")</f>
        <v/>
      </c>
      <c r="J222" s="13">
        <f>IF((F222+H222)&gt;0,F222/(F222+H222),"")</f>
        <v/>
      </c>
      <c r="K222" s="13">
        <f>IF(AND(ISNUMBER(I222),ISNUMBER(J222),(I222+J222)&gt;0),2*I222*J222/(I222+J222),"")</f>
        <v/>
      </c>
    </row>
    <row r="223">
      <c r="I223" s="13">
        <f>IF((F223+G223)&gt;0,F223/(F223+G223),"")</f>
        <v/>
      </c>
      <c r="J223" s="13">
        <f>IF((F223+H223)&gt;0,F223/(F223+H223),"")</f>
        <v/>
      </c>
      <c r="K223" s="13">
        <f>IF(AND(ISNUMBER(I223),ISNUMBER(J223),(I223+J223)&gt;0),2*I223*J223/(I223+J223),"")</f>
        <v/>
      </c>
    </row>
    <row r="224">
      <c r="I224" s="13">
        <f>IF((F224+G224)&gt;0,F224/(F224+G224),"")</f>
        <v/>
      </c>
      <c r="J224" s="13">
        <f>IF((F224+H224)&gt;0,F224/(F224+H224),"")</f>
        <v/>
      </c>
      <c r="K224" s="13">
        <f>IF(AND(ISNUMBER(I224),ISNUMBER(J224),(I224+J224)&gt;0),2*I224*J224/(I224+J224),"")</f>
        <v/>
      </c>
    </row>
    <row r="225">
      <c r="I225" s="13">
        <f>IF((F225+G225)&gt;0,F225/(F225+G225),"")</f>
        <v/>
      </c>
      <c r="J225" s="13">
        <f>IF((F225+H225)&gt;0,F225/(F225+H225),"")</f>
        <v/>
      </c>
      <c r="K225" s="13">
        <f>IF(AND(ISNUMBER(I225),ISNUMBER(J225),(I225+J225)&gt;0),2*I225*J225/(I225+J225),"")</f>
        <v/>
      </c>
    </row>
    <row r="226">
      <c r="I226" s="13">
        <f>IF((F226+G226)&gt;0,F226/(F226+G226),"")</f>
        <v/>
      </c>
      <c r="J226" s="13">
        <f>IF((F226+H226)&gt;0,F226/(F226+H226),"")</f>
        <v/>
      </c>
      <c r="K226" s="13">
        <f>IF(AND(ISNUMBER(I226),ISNUMBER(J226),(I226+J226)&gt;0),2*I226*J226/(I226+J226),"")</f>
        <v/>
      </c>
    </row>
    <row r="227">
      <c r="I227" s="13">
        <f>IF((F227+G227)&gt;0,F227/(F227+G227),"")</f>
        <v/>
      </c>
      <c r="J227" s="13">
        <f>IF((F227+H227)&gt;0,F227/(F227+H227),"")</f>
        <v/>
      </c>
      <c r="K227" s="13">
        <f>IF(AND(ISNUMBER(I227),ISNUMBER(J227),(I227+J227)&gt;0),2*I227*J227/(I227+J227),"")</f>
        <v/>
      </c>
    </row>
    <row r="228">
      <c r="I228" s="13">
        <f>IF((F228+G228)&gt;0,F228/(F228+G228),"")</f>
        <v/>
      </c>
      <c r="J228" s="13">
        <f>IF((F228+H228)&gt;0,F228/(F228+H228),"")</f>
        <v/>
      </c>
      <c r="K228" s="13">
        <f>IF(AND(ISNUMBER(I228),ISNUMBER(J228),(I228+J228)&gt;0),2*I228*J228/(I228+J228),"")</f>
        <v/>
      </c>
    </row>
    <row r="229">
      <c r="I229" s="13">
        <f>IF((F229+G229)&gt;0,F229/(F229+G229),"")</f>
        <v/>
      </c>
      <c r="J229" s="13">
        <f>IF((F229+H229)&gt;0,F229/(F229+H229),"")</f>
        <v/>
      </c>
      <c r="K229" s="13">
        <f>IF(AND(ISNUMBER(I229),ISNUMBER(J229),(I229+J229)&gt;0),2*I229*J229/(I229+J229),"")</f>
        <v/>
      </c>
    </row>
    <row r="230">
      <c r="I230" s="13">
        <f>IF((F230+G230)&gt;0,F230/(F230+G230),"")</f>
        <v/>
      </c>
      <c r="J230" s="13">
        <f>IF((F230+H230)&gt;0,F230/(F230+H230),"")</f>
        <v/>
      </c>
      <c r="K230" s="13">
        <f>IF(AND(ISNUMBER(I230),ISNUMBER(J230),(I230+J230)&gt;0),2*I230*J230/(I230+J230),"")</f>
        <v/>
      </c>
    </row>
    <row r="231">
      <c r="I231" s="13">
        <f>IF((F231+G231)&gt;0,F231/(F231+G231),"")</f>
        <v/>
      </c>
      <c r="J231" s="13">
        <f>IF((F231+H231)&gt;0,F231/(F231+H231),"")</f>
        <v/>
      </c>
      <c r="K231" s="13">
        <f>IF(AND(ISNUMBER(I231),ISNUMBER(J231),(I231+J231)&gt;0),2*I231*J231/(I231+J231),"")</f>
        <v/>
      </c>
    </row>
    <row r="232">
      <c r="I232" s="13">
        <f>IF((F232+G232)&gt;0,F232/(F232+G232),"")</f>
        <v/>
      </c>
      <c r="J232" s="13">
        <f>IF((F232+H232)&gt;0,F232/(F232+H232),"")</f>
        <v/>
      </c>
      <c r="K232" s="13">
        <f>IF(AND(ISNUMBER(I232),ISNUMBER(J232),(I232+J232)&gt;0),2*I232*J232/(I232+J232),"")</f>
        <v/>
      </c>
    </row>
    <row r="233">
      <c r="I233" s="13">
        <f>IF((F233+G233)&gt;0,F233/(F233+G233),"")</f>
        <v/>
      </c>
      <c r="J233" s="13">
        <f>IF((F233+H233)&gt;0,F233/(F233+H233),"")</f>
        <v/>
      </c>
      <c r="K233" s="13">
        <f>IF(AND(ISNUMBER(I233),ISNUMBER(J233),(I233+J233)&gt;0),2*I233*J233/(I233+J233),"")</f>
        <v/>
      </c>
    </row>
    <row r="234">
      <c r="I234" s="13">
        <f>IF((F234+G234)&gt;0,F234/(F234+G234),"")</f>
        <v/>
      </c>
      <c r="J234" s="13">
        <f>IF((F234+H234)&gt;0,F234/(F234+H234),"")</f>
        <v/>
      </c>
      <c r="K234" s="13">
        <f>IF(AND(ISNUMBER(I234),ISNUMBER(J234),(I234+J234)&gt;0),2*I234*J234/(I234+J234),"")</f>
        <v/>
      </c>
    </row>
    <row r="235">
      <c r="I235" s="13">
        <f>IF((F235+G235)&gt;0,F235/(F235+G235),"")</f>
        <v/>
      </c>
      <c r="J235" s="13">
        <f>IF((F235+H235)&gt;0,F235/(F235+H235),"")</f>
        <v/>
      </c>
      <c r="K235" s="13">
        <f>IF(AND(ISNUMBER(I235),ISNUMBER(J235),(I235+J235)&gt;0),2*I235*J235/(I235+J235),"")</f>
        <v/>
      </c>
    </row>
    <row r="236">
      <c r="I236" s="13">
        <f>IF((F236+G236)&gt;0,F236/(F236+G236),"")</f>
        <v/>
      </c>
      <c r="J236" s="13">
        <f>IF((F236+H236)&gt;0,F236/(F236+H236),"")</f>
        <v/>
      </c>
      <c r="K236" s="13">
        <f>IF(AND(ISNUMBER(I236),ISNUMBER(J236),(I236+J236)&gt;0),2*I236*J236/(I236+J236),"")</f>
        <v/>
      </c>
    </row>
    <row r="237">
      <c r="I237" s="13">
        <f>IF((F237+G237)&gt;0,F237/(F237+G237),"")</f>
        <v/>
      </c>
      <c r="J237" s="13">
        <f>IF((F237+H237)&gt;0,F237/(F237+H237),"")</f>
        <v/>
      </c>
      <c r="K237" s="13">
        <f>IF(AND(ISNUMBER(I237),ISNUMBER(J237),(I237+J237)&gt;0),2*I237*J237/(I237+J237),"")</f>
        <v/>
      </c>
    </row>
    <row r="238">
      <c r="I238" s="13">
        <f>IF((F238+G238)&gt;0,F238/(F238+G238),"")</f>
        <v/>
      </c>
      <c r="J238" s="13">
        <f>IF((F238+H238)&gt;0,F238/(F238+H238),"")</f>
        <v/>
      </c>
      <c r="K238" s="13">
        <f>IF(AND(ISNUMBER(I238),ISNUMBER(J238),(I238+J238)&gt;0),2*I238*J238/(I238+J238),"")</f>
        <v/>
      </c>
    </row>
    <row r="239">
      <c r="I239" s="13">
        <f>IF((F239+G239)&gt;0,F239/(F239+G239),"")</f>
        <v/>
      </c>
      <c r="J239" s="13">
        <f>IF((F239+H239)&gt;0,F239/(F239+H239),"")</f>
        <v/>
      </c>
      <c r="K239" s="13">
        <f>IF(AND(ISNUMBER(I239),ISNUMBER(J239),(I239+J239)&gt;0),2*I239*J239/(I239+J239),"")</f>
        <v/>
      </c>
    </row>
    <row r="240">
      <c r="I240" s="13">
        <f>IF((F240+G240)&gt;0,F240/(F240+G240),"")</f>
        <v/>
      </c>
      <c r="J240" s="13">
        <f>IF((F240+H240)&gt;0,F240/(F240+H240),"")</f>
        <v/>
      </c>
      <c r="K240" s="13">
        <f>IF(AND(ISNUMBER(I240),ISNUMBER(J240),(I240+J240)&gt;0),2*I240*J240/(I240+J240),"")</f>
        <v/>
      </c>
    </row>
    <row r="241">
      <c r="I241" s="13">
        <f>IF((F241+G241)&gt;0,F241/(F241+G241),"")</f>
        <v/>
      </c>
      <c r="J241" s="13">
        <f>IF((F241+H241)&gt;0,F241/(F241+H241),"")</f>
        <v/>
      </c>
      <c r="K241" s="13">
        <f>IF(AND(ISNUMBER(I241),ISNUMBER(J241),(I241+J241)&gt;0),2*I241*J241/(I241+J241),"")</f>
        <v/>
      </c>
    </row>
    <row r="242">
      <c r="I242" s="13">
        <f>IF((F242+G242)&gt;0,F242/(F242+G242),"")</f>
        <v/>
      </c>
      <c r="J242" s="13">
        <f>IF((F242+H242)&gt;0,F242/(F242+H242),"")</f>
        <v/>
      </c>
      <c r="K242" s="13">
        <f>IF(AND(ISNUMBER(I242),ISNUMBER(J242),(I242+J242)&gt;0),2*I242*J242/(I242+J242),"")</f>
        <v/>
      </c>
    </row>
    <row r="243">
      <c r="I243" s="13">
        <f>IF((F243+G243)&gt;0,F243/(F243+G243),"")</f>
        <v/>
      </c>
      <c r="J243" s="13">
        <f>IF((F243+H243)&gt;0,F243/(F243+H243),"")</f>
        <v/>
      </c>
      <c r="K243" s="13">
        <f>IF(AND(ISNUMBER(I243),ISNUMBER(J243),(I243+J243)&gt;0),2*I243*J243/(I243+J243),"")</f>
        <v/>
      </c>
    </row>
    <row r="244">
      <c r="I244" s="13">
        <f>IF((F244+G244)&gt;0,F244/(F244+G244),"")</f>
        <v/>
      </c>
      <c r="J244" s="13">
        <f>IF((F244+H244)&gt;0,F244/(F244+H244),"")</f>
        <v/>
      </c>
      <c r="K244" s="13">
        <f>IF(AND(ISNUMBER(I244),ISNUMBER(J244),(I244+J244)&gt;0),2*I244*J244/(I244+J244),"")</f>
        <v/>
      </c>
    </row>
    <row r="245">
      <c r="I245" s="13">
        <f>IF((F245+G245)&gt;0,F245/(F245+G245),"")</f>
        <v/>
      </c>
      <c r="J245" s="13">
        <f>IF((F245+H245)&gt;0,F245/(F245+H245),"")</f>
        <v/>
      </c>
      <c r="K245" s="13">
        <f>IF(AND(ISNUMBER(I245),ISNUMBER(J245),(I245+J245)&gt;0),2*I245*J245/(I245+J245),"")</f>
        <v/>
      </c>
    </row>
    <row r="246">
      <c r="I246" s="13">
        <f>IF((F246+G246)&gt;0,F246/(F246+G246),"")</f>
        <v/>
      </c>
      <c r="J246" s="13">
        <f>IF((F246+H246)&gt;0,F246/(F246+H246),"")</f>
        <v/>
      </c>
      <c r="K246" s="13">
        <f>IF(AND(ISNUMBER(I246),ISNUMBER(J246),(I246+J246)&gt;0),2*I246*J246/(I246+J246),"")</f>
        <v/>
      </c>
    </row>
    <row r="247">
      <c r="I247" s="13">
        <f>IF((F247+G247)&gt;0,F247/(F247+G247),"")</f>
        <v/>
      </c>
      <c r="J247" s="13">
        <f>IF((F247+H247)&gt;0,F247/(F247+H247),"")</f>
        <v/>
      </c>
      <c r="K247" s="13">
        <f>IF(AND(ISNUMBER(I247),ISNUMBER(J247),(I247+J247)&gt;0),2*I247*J247/(I247+J247),"")</f>
        <v/>
      </c>
    </row>
    <row r="248">
      <c r="I248" s="13">
        <f>IF((F248+G248)&gt;0,F248/(F248+G248),"")</f>
        <v/>
      </c>
      <c r="J248" s="13">
        <f>IF((F248+H248)&gt;0,F248/(F248+H248),"")</f>
        <v/>
      </c>
      <c r="K248" s="13">
        <f>IF(AND(ISNUMBER(I248),ISNUMBER(J248),(I248+J248)&gt;0),2*I248*J248/(I248+J248),"")</f>
        <v/>
      </c>
    </row>
    <row r="249">
      <c r="I249" s="13">
        <f>IF((F249+G249)&gt;0,F249/(F249+G249),"")</f>
        <v/>
      </c>
      <c r="J249" s="13">
        <f>IF((F249+H249)&gt;0,F249/(F249+H249),"")</f>
        <v/>
      </c>
      <c r="K249" s="13">
        <f>IF(AND(ISNUMBER(I249),ISNUMBER(J249),(I249+J249)&gt;0),2*I249*J249/(I249+J249),"")</f>
        <v/>
      </c>
    </row>
    <row r="250">
      <c r="I250" s="13">
        <f>IF((F250+G250)&gt;0,F250/(F250+G250),"")</f>
        <v/>
      </c>
      <c r="J250" s="13">
        <f>IF((F250+H250)&gt;0,F250/(F250+H250),"")</f>
        <v/>
      </c>
      <c r="K250" s="13">
        <f>IF(AND(ISNUMBER(I250),ISNUMBER(J250),(I250+J250)&gt;0),2*I250*J250/(I250+J250),"")</f>
        <v/>
      </c>
    </row>
    <row r="251">
      <c r="I251" s="13">
        <f>IF((F251+G251)&gt;0,F251/(F251+G251),"")</f>
        <v/>
      </c>
      <c r="J251" s="13">
        <f>IF((F251+H251)&gt;0,F251/(F251+H251),"")</f>
        <v/>
      </c>
      <c r="K251" s="13">
        <f>IF(AND(ISNUMBER(I251),ISNUMBER(J251),(I251+J251)&gt;0),2*I251*J251/(I251+J251),"")</f>
        <v/>
      </c>
    </row>
    <row r="252">
      <c r="I252" s="13">
        <f>IF((F252+G252)&gt;0,F252/(F252+G252),"")</f>
        <v/>
      </c>
      <c r="J252" s="13">
        <f>IF((F252+H252)&gt;0,F252/(F252+H252),"")</f>
        <v/>
      </c>
      <c r="K252" s="13">
        <f>IF(AND(ISNUMBER(I252),ISNUMBER(J252),(I252+J252)&gt;0),2*I252*J252/(I252+J252),"")</f>
        <v/>
      </c>
    </row>
    <row r="253">
      <c r="I253" s="13">
        <f>IF((F253+G253)&gt;0,F253/(F253+G253),"")</f>
        <v/>
      </c>
      <c r="J253" s="13">
        <f>IF((F253+H253)&gt;0,F253/(F253+H253),"")</f>
        <v/>
      </c>
      <c r="K253" s="13">
        <f>IF(AND(ISNUMBER(I253),ISNUMBER(J253),(I253+J253)&gt;0),2*I253*J253/(I253+J253),"")</f>
        <v/>
      </c>
    </row>
    <row r="254">
      <c r="I254" s="13">
        <f>IF((F254+G254)&gt;0,F254/(F254+G254),"")</f>
        <v/>
      </c>
      <c r="J254" s="13">
        <f>IF((F254+H254)&gt;0,F254/(F254+H254),"")</f>
        <v/>
      </c>
      <c r="K254" s="13">
        <f>IF(AND(ISNUMBER(I254),ISNUMBER(J254),(I254+J254)&gt;0),2*I254*J254/(I254+J254),"")</f>
        <v/>
      </c>
    </row>
    <row r="255">
      <c r="I255" s="13">
        <f>IF((F255+G255)&gt;0,F255/(F255+G255),"")</f>
        <v/>
      </c>
      <c r="J255" s="13">
        <f>IF((F255+H255)&gt;0,F255/(F255+H255),"")</f>
        <v/>
      </c>
      <c r="K255" s="13">
        <f>IF(AND(ISNUMBER(I255),ISNUMBER(J255),(I255+J255)&gt;0),2*I255*J255/(I255+J255),"")</f>
        <v/>
      </c>
    </row>
    <row r="256">
      <c r="I256" s="13">
        <f>IF((F256+G256)&gt;0,F256/(F256+G256),"")</f>
        <v/>
      </c>
      <c r="J256" s="13">
        <f>IF((F256+H256)&gt;0,F256/(F256+H256),"")</f>
        <v/>
      </c>
      <c r="K256" s="13">
        <f>IF(AND(ISNUMBER(I256),ISNUMBER(J256),(I256+J256)&gt;0),2*I256*J256/(I256+J256),"")</f>
        <v/>
      </c>
    </row>
    <row r="257">
      <c r="I257" s="13">
        <f>IF((F257+G257)&gt;0,F257/(F257+G257),"")</f>
        <v/>
      </c>
      <c r="J257" s="13">
        <f>IF((F257+H257)&gt;0,F257/(F257+H257),"")</f>
        <v/>
      </c>
      <c r="K257" s="13">
        <f>IF(AND(ISNUMBER(I257),ISNUMBER(J257),(I257+J257)&gt;0),2*I257*J257/(I257+J257),"")</f>
        <v/>
      </c>
    </row>
    <row r="258">
      <c r="I258" s="13">
        <f>IF((F258+G258)&gt;0,F258/(F258+G258),"")</f>
        <v/>
      </c>
      <c r="J258" s="13">
        <f>IF((F258+H258)&gt;0,F258/(F258+H258),"")</f>
        <v/>
      </c>
      <c r="K258" s="13">
        <f>IF(AND(ISNUMBER(I258),ISNUMBER(J258),(I258+J258)&gt;0),2*I258*J258/(I258+J258),"")</f>
        <v/>
      </c>
    </row>
    <row r="259">
      <c r="I259" s="13">
        <f>IF((F259+G259)&gt;0,F259/(F259+G259),"")</f>
        <v/>
      </c>
      <c r="J259" s="13">
        <f>IF((F259+H259)&gt;0,F259/(F259+H259),"")</f>
        <v/>
      </c>
      <c r="K259" s="13">
        <f>IF(AND(ISNUMBER(I259),ISNUMBER(J259),(I259+J259)&gt;0),2*I259*J259/(I259+J259),"")</f>
        <v/>
      </c>
    </row>
    <row r="260">
      <c r="I260" s="13">
        <f>IF((F260+G260)&gt;0,F260/(F260+G260),"")</f>
        <v/>
      </c>
      <c r="J260" s="13">
        <f>IF((F260+H260)&gt;0,F260/(F260+H260),"")</f>
        <v/>
      </c>
      <c r="K260" s="13">
        <f>IF(AND(ISNUMBER(I260),ISNUMBER(J260),(I260+J260)&gt;0),2*I260*J260/(I260+J260),"")</f>
        <v/>
      </c>
    </row>
    <row r="261">
      <c r="I261" s="13">
        <f>IF((F261+G261)&gt;0,F261/(F261+G261),"")</f>
        <v/>
      </c>
      <c r="J261" s="13">
        <f>IF((F261+H261)&gt;0,F261/(F261+H261),"")</f>
        <v/>
      </c>
      <c r="K261" s="13">
        <f>IF(AND(ISNUMBER(I261),ISNUMBER(J261),(I261+J261)&gt;0),2*I261*J261/(I261+J261),"")</f>
        <v/>
      </c>
    </row>
    <row r="262">
      <c r="I262" s="13">
        <f>IF((F262+G262)&gt;0,F262/(F262+G262),"")</f>
        <v/>
      </c>
      <c r="J262" s="13">
        <f>IF((F262+H262)&gt;0,F262/(F262+H262),"")</f>
        <v/>
      </c>
      <c r="K262" s="13">
        <f>IF(AND(ISNUMBER(I262),ISNUMBER(J262),(I262+J262)&gt;0),2*I262*J262/(I262+J262),"")</f>
        <v/>
      </c>
    </row>
    <row r="263">
      <c r="I263" s="13">
        <f>IF((F263+G263)&gt;0,F263/(F263+G263),"")</f>
        <v/>
      </c>
      <c r="J263" s="13">
        <f>IF((F263+H263)&gt;0,F263/(F263+H263),"")</f>
        <v/>
      </c>
      <c r="K263" s="13">
        <f>IF(AND(ISNUMBER(I263),ISNUMBER(J263),(I263+J263)&gt;0),2*I263*J263/(I263+J263),"")</f>
        <v/>
      </c>
    </row>
    <row r="264">
      <c r="I264" s="13">
        <f>IF((F264+G264)&gt;0,F264/(F264+G264),"")</f>
        <v/>
      </c>
      <c r="J264" s="13">
        <f>IF((F264+H264)&gt;0,F264/(F264+H264),"")</f>
        <v/>
      </c>
      <c r="K264" s="13">
        <f>IF(AND(ISNUMBER(I264),ISNUMBER(J264),(I264+J264)&gt;0),2*I264*J264/(I264+J264),"")</f>
        <v/>
      </c>
    </row>
    <row r="265">
      <c r="I265" s="13">
        <f>IF((F265+G265)&gt;0,F265/(F265+G265),"")</f>
        <v/>
      </c>
      <c r="J265" s="13">
        <f>IF((F265+H265)&gt;0,F265/(F265+H265),"")</f>
        <v/>
      </c>
      <c r="K265" s="13">
        <f>IF(AND(ISNUMBER(I265),ISNUMBER(J265),(I265+J265)&gt;0),2*I265*J265/(I265+J265),"")</f>
        <v/>
      </c>
    </row>
    <row r="266">
      <c r="I266" s="13">
        <f>IF((F266+G266)&gt;0,F266/(F266+G266),"")</f>
        <v/>
      </c>
      <c r="J266" s="13">
        <f>IF((F266+H266)&gt;0,F266/(F266+H266),"")</f>
        <v/>
      </c>
      <c r="K266" s="13">
        <f>IF(AND(ISNUMBER(I266),ISNUMBER(J266),(I266+J266)&gt;0),2*I266*J266/(I266+J266),"")</f>
        <v/>
      </c>
    </row>
    <row r="267">
      <c r="I267" s="13">
        <f>IF((F267+G267)&gt;0,F267/(F267+G267),"")</f>
        <v/>
      </c>
      <c r="J267" s="13">
        <f>IF((F267+H267)&gt;0,F267/(F267+H267),"")</f>
        <v/>
      </c>
      <c r="K267" s="13">
        <f>IF(AND(ISNUMBER(I267),ISNUMBER(J267),(I267+J267)&gt;0),2*I267*J267/(I267+J267),"")</f>
        <v/>
      </c>
    </row>
    <row r="268">
      <c r="I268" s="13">
        <f>IF((F268+G268)&gt;0,F268/(F268+G268),"")</f>
        <v/>
      </c>
      <c r="J268" s="13">
        <f>IF((F268+H268)&gt;0,F268/(F268+H268),"")</f>
        <v/>
      </c>
      <c r="K268" s="13">
        <f>IF(AND(ISNUMBER(I268),ISNUMBER(J268),(I268+J268)&gt;0),2*I268*J268/(I268+J268),"")</f>
        <v/>
      </c>
    </row>
    <row r="269">
      <c r="I269" s="13">
        <f>IF((F269+G269)&gt;0,F269/(F269+G269),"")</f>
        <v/>
      </c>
      <c r="J269" s="13">
        <f>IF((F269+H269)&gt;0,F269/(F269+H269),"")</f>
        <v/>
      </c>
      <c r="K269" s="13">
        <f>IF(AND(ISNUMBER(I269),ISNUMBER(J269),(I269+J269)&gt;0),2*I269*J269/(I269+J269),"")</f>
        <v/>
      </c>
    </row>
    <row r="270">
      <c r="I270" s="13">
        <f>IF((F270+G270)&gt;0,F270/(F270+G270),"")</f>
        <v/>
      </c>
      <c r="J270" s="13">
        <f>IF((F270+H270)&gt;0,F270/(F270+H270),"")</f>
        <v/>
      </c>
      <c r="K270" s="13">
        <f>IF(AND(ISNUMBER(I270),ISNUMBER(J270),(I270+J270)&gt;0),2*I270*J270/(I270+J270),"")</f>
        <v/>
      </c>
    </row>
    <row r="271">
      <c r="I271" s="13">
        <f>IF((F271+G271)&gt;0,F271/(F271+G271),"")</f>
        <v/>
      </c>
      <c r="J271" s="13">
        <f>IF((F271+H271)&gt;0,F271/(F271+H271),"")</f>
        <v/>
      </c>
      <c r="K271" s="13">
        <f>IF(AND(ISNUMBER(I271),ISNUMBER(J271),(I271+J271)&gt;0),2*I271*J271/(I271+J271),"")</f>
        <v/>
      </c>
    </row>
    <row r="272">
      <c r="I272" s="13">
        <f>IF((F272+G272)&gt;0,F272/(F272+G272),"")</f>
        <v/>
      </c>
      <c r="J272" s="13">
        <f>IF((F272+H272)&gt;0,F272/(F272+H272),"")</f>
        <v/>
      </c>
      <c r="K272" s="13">
        <f>IF(AND(ISNUMBER(I272),ISNUMBER(J272),(I272+J272)&gt;0),2*I272*J272/(I272+J272),"")</f>
        <v/>
      </c>
    </row>
    <row r="273">
      <c r="I273" s="13">
        <f>IF((F273+G273)&gt;0,F273/(F273+G273),"")</f>
        <v/>
      </c>
      <c r="J273" s="13">
        <f>IF((F273+H273)&gt;0,F273/(F273+H273),"")</f>
        <v/>
      </c>
      <c r="K273" s="13">
        <f>IF(AND(ISNUMBER(I273),ISNUMBER(J273),(I273+J273)&gt;0),2*I273*J273/(I273+J273),"")</f>
        <v/>
      </c>
    </row>
    <row r="274">
      <c r="I274" s="13">
        <f>IF((F274+G274)&gt;0,F274/(F274+G274),"")</f>
        <v/>
      </c>
      <c r="J274" s="13">
        <f>IF((F274+H274)&gt;0,F274/(F274+H274),"")</f>
        <v/>
      </c>
      <c r="K274" s="13">
        <f>IF(AND(ISNUMBER(I274),ISNUMBER(J274),(I274+J274)&gt;0),2*I274*J274/(I274+J274),"")</f>
        <v/>
      </c>
    </row>
    <row r="275">
      <c r="I275" s="13">
        <f>IF((F275+G275)&gt;0,F275/(F275+G275),"")</f>
        <v/>
      </c>
      <c r="J275" s="13">
        <f>IF((F275+H275)&gt;0,F275/(F275+H275),"")</f>
        <v/>
      </c>
      <c r="K275" s="13">
        <f>IF(AND(ISNUMBER(I275),ISNUMBER(J275),(I275+J275)&gt;0),2*I275*J275/(I275+J275),"")</f>
        <v/>
      </c>
    </row>
    <row r="276">
      <c r="I276" s="13">
        <f>IF((F276+G276)&gt;0,F276/(F276+G276),"")</f>
        <v/>
      </c>
      <c r="J276" s="13">
        <f>IF((F276+H276)&gt;0,F276/(F276+H276),"")</f>
        <v/>
      </c>
      <c r="K276" s="13">
        <f>IF(AND(ISNUMBER(I276),ISNUMBER(J276),(I276+J276)&gt;0),2*I276*J276/(I276+J276),"")</f>
        <v/>
      </c>
    </row>
    <row r="277">
      <c r="I277" s="13">
        <f>IF((F277+G277)&gt;0,F277/(F277+G277),"")</f>
        <v/>
      </c>
      <c r="J277" s="13">
        <f>IF((F277+H277)&gt;0,F277/(F277+H277),"")</f>
        <v/>
      </c>
      <c r="K277" s="13">
        <f>IF(AND(ISNUMBER(I277),ISNUMBER(J277),(I277+J277)&gt;0),2*I277*J277/(I277+J277),"")</f>
        <v/>
      </c>
    </row>
    <row r="278">
      <c r="I278" s="13">
        <f>IF((F278+G278)&gt;0,F278/(F278+G278),"")</f>
        <v/>
      </c>
      <c r="J278" s="13">
        <f>IF((F278+H278)&gt;0,F278/(F278+H278),"")</f>
        <v/>
      </c>
      <c r="K278" s="13">
        <f>IF(AND(ISNUMBER(I278),ISNUMBER(J278),(I278+J278)&gt;0),2*I278*J278/(I278+J278),"")</f>
        <v/>
      </c>
    </row>
    <row r="279">
      <c r="I279" s="13">
        <f>IF((F279+G279)&gt;0,F279/(F279+G279),"")</f>
        <v/>
      </c>
      <c r="J279" s="13">
        <f>IF((F279+H279)&gt;0,F279/(F279+H279),"")</f>
        <v/>
      </c>
      <c r="K279" s="13">
        <f>IF(AND(ISNUMBER(I279),ISNUMBER(J279),(I279+J279)&gt;0),2*I279*J279/(I279+J279),"")</f>
        <v/>
      </c>
    </row>
    <row r="280">
      <c r="I280" s="13">
        <f>IF((F280+G280)&gt;0,F280/(F280+G280),"")</f>
        <v/>
      </c>
      <c r="J280" s="13">
        <f>IF((F280+H280)&gt;0,F280/(F280+H280),"")</f>
        <v/>
      </c>
      <c r="K280" s="13">
        <f>IF(AND(ISNUMBER(I280),ISNUMBER(J280),(I280+J280)&gt;0),2*I280*J280/(I280+J280),"")</f>
        <v/>
      </c>
    </row>
    <row r="281">
      <c r="I281" s="13">
        <f>IF((F281+G281)&gt;0,F281/(F281+G281),"")</f>
        <v/>
      </c>
      <c r="J281" s="13">
        <f>IF((F281+H281)&gt;0,F281/(F281+H281),"")</f>
        <v/>
      </c>
      <c r="K281" s="13">
        <f>IF(AND(ISNUMBER(I281),ISNUMBER(J281),(I281+J281)&gt;0),2*I281*J281/(I281+J281),"")</f>
        <v/>
      </c>
    </row>
    <row r="282">
      <c r="I282" s="13">
        <f>IF((F282+G282)&gt;0,F282/(F282+G282),"")</f>
        <v/>
      </c>
      <c r="J282" s="13">
        <f>IF((F282+H282)&gt;0,F282/(F282+H282),"")</f>
        <v/>
      </c>
      <c r="K282" s="13">
        <f>IF(AND(ISNUMBER(I282),ISNUMBER(J282),(I282+J282)&gt;0),2*I282*J282/(I282+J282),"")</f>
        <v/>
      </c>
    </row>
    <row r="283">
      <c r="I283" s="13">
        <f>IF((F283+G283)&gt;0,F283/(F283+G283),"")</f>
        <v/>
      </c>
      <c r="J283" s="13">
        <f>IF((F283+H283)&gt;0,F283/(F283+H283),"")</f>
        <v/>
      </c>
      <c r="K283" s="13">
        <f>IF(AND(ISNUMBER(I283),ISNUMBER(J283),(I283+J283)&gt;0),2*I283*J283/(I283+J283),"")</f>
        <v/>
      </c>
    </row>
    <row r="284">
      <c r="I284" s="13">
        <f>IF((F284+G284)&gt;0,F284/(F284+G284),"")</f>
        <v/>
      </c>
      <c r="J284" s="13">
        <f>IF((F284+H284)&gt;0,F284/(F284+H284),"")</f>
        <v/>
      </c>
      <c r="K284" s="13">
        <f>IF(AND(ISNUMBER(I284),ISNUMBER(J284),(I284+J284)&gt;0),2*I284*J284/(I284+J284),"")</f>
        <v/>
      </c>
    </row>
    <row r="285">
      <c r="I285" s="13">
        <f>IF((F285+G285)&gt;0,F285/(F285+G285),"")</f>
        <v/>
      </c>
      <c r="J285" s="13">
        <f>IF((F285+H285)&gt;0,F285/(F285+H285),"")</f>
        <v/>
      </c>
      <c r="K285" s="13">
        <f>IF(AND(ISNUMBER(I285),ISNUMBER(J285),(I285+J285)&gt;0),2*I285*J285/(I285+J285),"")</f>
        <v/>
      </c>
    </row>
    <row r="286">
      <c r="I286" s="13">
        <f>IF((F286+G286)&gt;0,F286/(F286+G286),"")</f>
        <v/>
      </c>
      <c r="J286" s="13">
        <f>IF((F286+H286)&gt;0,F286/(F286+H286),"")</f>
        <v/>
      </c>
      <c r="K286" s="13">
        <f>IF(AND(ISNUMBER(I286),ISNUMBER(J286),(I286+J286)&gt;0),2*I286*J286/(I286+J286),"")</f>
        <v/>
      </c>
    </row>
    <row r="287">
      <c r="I287" s="13">
        <f>IF((F287+G287)&gt;0,F287/(F287+G287),"")</f>
        <v/>
      </c>
      <c r="J287" s="13">
        <f>IF((F287+H287)&gt;0,F287/(F287+H287),"")</f>
        <v/>
      </c>
      <c r="K287" s="13">
        <f>IF(AND(ISNUMBER(I287),ISNUMBER(J287),(I287+J287)&gt;0),2*I287*J287/(I287+J287),"")</f>
        <v/>
      </c>
    </row>
    <row r="288">
      <c r="I288" s="13">
        <f>IF((F288+G288)&gt;0,F288/(F288+G288),"")</f>
        <v/>
      </c>
      <c r="J288" s="13">
        <f>IF((F288+H288)&gt;0,F288/(F288+H288),"")</f>
        <v/>
      </c>
      <c r="K288" s="13">
        <f>IF(AND(ISNUMBER(I288),ISNUMBER(J288),(I288+J288)&gt;0),2*I288*J288/(I288+J288),"")</f>
        <v/>
      </c>
    </row>
    <row r="289">
      <c r="I289" s="13">
        <f>IF((F289+G289)&gt;0,F289/(F289+G289),"")</f>
        <v/>
      </c>
      <c r="J289" s="13">
        <f>IF((F289+H289)&gt;0,F289/(F289+H289),"")</f>
        <v/>
      </c>
      <c r="K289" s="13">
        <f>IF(AND(ISNUMBER(I289),ISNUMBER(J289),(I289+J289)&gt;0),2*I289*J289/(I289+J289),"")</f>
        <v/>
      </c>
    </row>
    <row r="290">
      <c r="I290" s="13">
        <f>IF((F290+G290)&gt;0,F290/(F290+G290),"")</f>
        <v/>
      </c>
      <c r="J290" s="13">
        <f>IF((F290+H290)&gt;0,F290/(F290+H290),"")</f>
        <v/>
      </c>
      <c r="K290" s="13">
        <f>IF(AND(ISNUMBER(I290),ISNUMBER(J290),(I290+J290)&gt;0),2*I290*J290/(I290+J290),"")</f>
        <v/>
      </c>
    </row>
    <row r="291">
      <c r="I291" s="13">
        <f>IF((F291+G291)&gt;0,F291/(F291+G291),"")</f>
        <v/>
      </c>
      <c r="J291" s="13">
        <f>IF((F291+H291)&gt;0,F291/(F291+H291),"")</f>
        <v/>
      </c>
      <c r="K291" s="13">
        <f>IF(AND(ISNUMBER(I291),ISNUMBER(J291),(I291+J291)&gt;0),2*I291*J291/(I291+J291),"")</f>
        <v/>
      </c>
    </row>
    <row r="292">
      <c r="I292" s="13">
        <f>IF((F292+G292)&gt;0,F292/(F292+G292),"")</f>
        <v/>
      </c>
      <c r="J292" s="13">
        <f>IF((F292+H292)&gt;0,F292/(F292+H292),"")</f>
        <v/>
      </c>
      <c r="K292" s="13">
        <f>IF(AND(ISNUMBER(I292),ISNUMBER(J292),(I292+J292)&gt;0),2*I292*J292/(I292+J292),"")</f>
        <v/>
      </c>
    </row>
    <row r="293">
      <c r="I293" s="13">
        <f>IF((F293+G293)&gt;0,F293/(F293+G293),"")</f>
        <v/>
      </c>
      <c r="J293" s="13">
        <f>IF((F293+H293)&gt;0,F293/(F293+H293),"")</f>
        <v/>
      </c>
      <c r="K293" s="13">
        <f>IF(AND(ISNUMBER(I293),ISNUMBER(J293),(I293+J293)&gt;0),2*I293*J293/(I293+J293),"")</f>
        <v/>
      </c>
    </row>
    <row r="294">
      <c r="I294" s="13">
        <f>IF((F294+G294)&gt;0,F294/(F294+G294),"")</f>
        <v/>
      </c>
      <c r="J294" s="13">
        <f>IF((F294+H294)&gt;0,F294/(F294+H294),"")</f>
        <v/>
      </c>
      <c r="K294" s="13">
        <f>IF(AND(ISNUMBER(I294),ISNUMBER(J294),(I294+J294)&gt;0),2*I294*J294/(I294+J294),"")</f>
        <v/>
      </c>
    </row>
    <row r="295">
      <c r="I295" s="13">
        <f>IF((F295+G295)&gt;0,F295/(F295+G295),"")</f>
        <v/>
      </c>
      <c r="J295" s="13">
        <f>IF((F295+H295)&gt;0,F295/(F295+H295),"")</f>
        <v/>
      </c>
      <c r="K295" s="13">
        <f>IF(AND(ISNUMBER(I295),ISNUMBER(J295),(I295+J295)&gt;0),2*I295*J295/(I295+J295),"")</f>
        <v/>
      </c>
    </row>
    <row r="296">
      <c r="I296" s="13">
        <f>IF((F296+G296)&gt;0,F296/(F296+G296),"")</f>
        <v/>
      </c>
      <c r="J296" s="13">
        <f>IF((F296+H296)&gt;0,F296/(F296+H296),"")</f>
        <v/>
      </c>
      <c r="K296" s="13">
        <f>IF(AND(ISNUMBER(I296),ISNUMBER(J296),(I296+J296)&gt;0),2*I296*J296/(I296+J296),"")</f>
        <v/>
      </c>
    </row>
    <row r="297">
      <c r="I297" s="13">
        <f>IF((F297+G297)&gt;0,F297/(F297+G297),"")</f>
        <v/>
      </c>
      <c r="J297" s="13">
        <f>IF((F297+H297)&gt;0,F297/(F297+H297),"")</f>
        <v/>
      </c>
      <c r="K297" s="13">
        <f>IF(AND(ISNUMBER(I297),ISNUMBER(J297),(I297+J297)&gt;0),2*I297*J297/(I297+J297),"")</f>
        <v/>
      </c>
    </row>
    <row r="298">
      <c r="I298" s="13">
        <f>IF((F298+G298)&gt;0,F298/(F298+G298),"")</f>
        <v/>
      </c>
      <c r="J298" s="13">
        <f>IF((F298+H298)&gt;0,F298/(F298+H298),"")</f>
        <v/>
      </c>
      <c r="K298" s="13">
        <f>IF(AND(ISNUMBER(I298),ISNUMBER(J298),(I298+J298)&gt;0),2*I298*J298/(I298+J298),"")</f>
        <v/>
      </c>
    </row>
    <row r="299">
      <c r="I299" s="13">
        <f>IF((F299+G299)&gt;0,F299/(F299+G299),"")</f>
        <v/>
      </c>
      <c r="J299" s="13">
        <f>IF((F299+H299)&gt;0,F299/(F299+H299),"")</f>
        <v/>
      </c>
      <c r="K299" s="13">
        <f>IF(AND(ISNUMBER(I299),ISNUMBER(J299),(I299+J299)&gt;0),2*I299*J299/(I299+J299),"")</f>
        <v/>
      </c>
    </row>
    <row r="300">
      <c r="I300" s="13">
        <f>IF((F300+G300)&gt;0,F300/(F300+G300),"")</f>
        <v/>
      </c>
      <c r="J300" s="13">
        <f>IF((F300+H300)&gt;0,F300/(F300+H300),"")</f>
        <v/>
      </c>
      <c r="K300" s="13">
        <f>IF(AND(ISNUMBER(I300),ISNUMBER(J300),(I300+J300)&gt;0),2*I300*J300/(I300+J300),"")</f>
        <v/>
      </c>
    </row>
  </sheetData>
  <dataValidations count="2">
    <dataValidation sqref="C3:C300" showDropDown="0" showInputMessage="0" showErrorMessage="0" allowBlank="1" type="list">
      <formula1>"Hesitations,Silences,Autocorrections,Repetitions,Faux departs,Lapsus,Erreurs de chiffres,Terminologie"</formula1>
    </dataValidation>
    <dataValidation sqref="B3:B300" showDropDown="0" showInputMessage="0" showErrorMessage="0" allowBlank="1" type="list">
      <formula1>"AR,FR,EN"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1" customWidth="1" min="5" max="5"/>
    <col width="14" customWidth="1" min="6" max="6"/>
    <col width="30" customWidth="1" min="7" max="7"/>
  </cols>
  <sheetData>
    <row r="1">
      <c r="A1" s="1" t="inlineStr">
        <is>
          <t>Module arabe — exactitude i'rab / harakat finales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</row>
    <row r="3">
      <c r="A3" s="10" t="inlineStr">
        <is>
          <t>T002</t>
        </is>
      </c>
      <c r="B3" s="10" t="n">
        <v>40</v>
      </c>
      <c r="C3" s="10" t="n">
        <v>31</v>
      </c>
      <c r="D3" s="10" t="n">
        <v>6</v>
      </c>
      <c r="E3" s="10" t="n">
        <v>3</v>
      </c>
      <c r="F3" s="14">
        <f>IF(B3&gt;0,C3/B3*100,"")</f>
        <v/>
      </c>
      <c r="G3" s="10" t="inlineStr">
        <is>
          <t>exemple — a supprimer</t>
        </is>
      </c>
    </row>
    <row r="4">
      <c r="A4" s="11" t="n"/>
      <c r="B4" s="11" t="n"/>
      <c r="C4" s="11" t="n"/>
      <c r="D4" s="11" t="n"/>
      <c r="E4" s="11" t="n"/>
      <c r="F4" s="15">
        <f>IF(B4&gt;0,C4/B4*100,"")</f>
        <v/>
      </c>
      <c r="G4" s="11" t="n"/>
    </row>
    <row r="5">
      <c r="A5" s="11" t="n"/>
      <c r="B5" s="11" t="n"/>
      <c r="C5" s="11" t="n"/>
      <c r="D5" s="11" t="n"/>
      <c r="E5" s="11" t="n"/>
      <c r="F5" s="15">
        <f>IF(B5&gt;0,C5/B5*100,"")</f>
        <v/>
      </c>
      <c r="G5" s="11" t="n"/>
    </row>
    <row r="6">
      <c r="A6" s="11" t="n"/>
      <c r="B6" s="11" t="n"/>
      <c r="C6" s="11" t="n"/>
      <c r="D6" s="11" t="n"/>
      <c r="E6" s="11" t="n"/>
      <c r="F6" s="15">
        <f>IF(B6&gt;0,C6/B6*100,"")</f>
        <v/>
      </c>
      <c r="G6" s="11" t="n"/>
    </row>
    <row r="7">
      <c r="A7" s="11" t="n"/>
      <c r="B7" s="11" t="n"/>
      <c r="C7" s="11" t="n"/>
      <c r="D7" s="11" t="n"/>
      <c r="E7" s="11" t="n"/>
      <c r="F7" s="15">
        <f>IF(B7&gt;0,C7/B7*100,"")</f>
        <v/>
      </c>
      <c r="G7" s="11" t="n"/>
    </row>
    <row r="8">
      <c r="A8" s="11" t="n"/>
      <c r="B8" s="11" t="n"/>
      <c r="C8" s="11" t="n"/>
      <c r="D8" s="11" t="n"/>
      <c r="E8" s="11" t="n"/>
      <c r="F8" s="15">
        <f>IF(B8&gt;0,C8/B8*100,"")</f>
        <v/>
      </c>
      <c r="G8" s="11" t="n"/>
    </row>
    <row r="9">
      <c r="A9" s="11" t="n"/>
      <c r="B9" s="11" t="n"/>
      <c r="C9" s="11" t="n"/>
      <c r="D9" s="11" t="n"/>
      <c r="E9" s="11" t="n"/>
      <c r="F9" s="15">
        <f>IF(B9&gt;0,C9/B9*100,"")</f>
        <v/>
      </c>
      <c r="G9" s="11" t="n"/>
    </row>
    <row r="10">
      <c r="A10" s="11" t="n"/>
      <c r="B10" s="11" t="n"/>
      <c r="C10" s="11" t="n"/>
      <c r="D10" s="11" t="n"/>
      <c r="E10" s="11" t="n"/>
      <c r="F10" s="15">
        <f>IF(B10&gt;0,C10/B10*100,"")</f>
        <v/>
      </c>
      <c r="G10" s="11" t="n"/>
    </row>
    <row r="11">
      <c r="A11" s="11" t="n"/>
      <c r="B11" s="11" t="n"/>
      <c r="C11" s="11" t="n"/>
      <c r="D11" s="11" t="n"/>
      <c r="E11" s="11" t="n"/>
      <c r="F11" s="15">
        <f>IF(B11&gt;0,C11/B11*100,"")</f>
        <v/>
      </c>
      <c r="G11" s="11" t="n"/>
    </row>
    <row r="12">
      <c r="A12" s="11" t="n"/>
      <c r="B12" s="11" t="n"/>
      <c r="C12" s="11" t="n"/>
      <c r="D12" s="11" t="n"/>
      <c r="E12" s="11" t="n"/>
      <c r="F12" s="15">
        <f>IF(B12&gt;0,C12/B12*100,"")</f>
        <v/>
      </c>
      <c r="G12" s="11" t="n"/>
    </row>
    <row r="13">
      <c r="A13" s="11" t="n"/>
      <c r="B13" s="11" t="n"/>
      <c r="C13" s="11" t="n"/>
      <c r="D13" s="11" t="n"/>
      <c r="E13" s="11" t="n"/>
      <c r="F13" s="15">
        <f>IF(B13&gt;0,C13/B13*100,"")</f>
        <v/>
      </c>
      <c r="G13" s="11" t="n"/>
    </row>
    <row r="14">
      <c r="A14" s="11" t="n"/>
      <c r="B14" s="11" t="n"/>
      <c r="C14" s="11" t="n"/>
      <c r="D14" s="11" t="n"/>
      <c r="E14" s="11" t="n"/>
      <c r="F14" s="15">
        <f>IF(B14&gt;0,C14/B14*100,"")</f>
        <v/>
      </c>
      <c r="G14" s="11" t="n"/>
    </row>
    <row r="15">
      <c r="A15" s="11" t="n"/>
      <c r="B15" s="11" t="n"/>
      <c r="C15" s="11" t="n"/>
      <c r="D15" s="11" t="n"/>
      <c r="E15" s="11" t="n"/>
      <c r="F15" s="15">
        <f>IF(B15&gt;0,C15/B15*100,"")</f>
        <v/>
      </c>
      <c r="G15" s="11" t="n"/>
    </row>
    <row r="16">
      <c r="A16" s="11" t="n"/>
      <c r="B16" s="11" t="n"/>
      <c r="C16" s="11" t="n"/>
      <c r="D16" s="11" t="n"/>
      <c r="E16" s="11" t="n"/>
      <c r="F16" s="15">
        <f>IF(B16&gt;0,C16/B16*100,"")</f>
        <v/>
      </c>
      <c r="G16" s="11" t="n"/>
    </row>
    <row r="17">
      <c r="A17" s="11" t="n"/>
      <c r="B17" s="11" t="n"/>
      <c r="C17" s="11" t="n"/>
      <c r="D17" s="11" t="n"/>
      <c r="E17" s="11" t="n"/>
      <c r="F17" s="15">
        <f>IF(B17&gt;0,C17/B17*100,"")</f>
        <v/>
      </c>
      <c r="G17" s="11" t="n"/>
    </row>
    <row r="18">
      <c r="A18" s="11" t="n"/>
      <c r="B18" s="11" t="n"/>
      <c r="C18" s="11" t="n"/>
      <c r="D18" s="11" t="n"/>
      <c r="E18" s="11" t="n"/>
      <c r="F18" s="15">
        <f>IF(B18&gt;0,C18/B18*100,"")</f>
        <v/>
      </c>
      <c r="G18" s="11" t="n"/>
    </row>
    <row r="19">
      <c r="A19" s="11" t="n"/>
      <c r="B19" s="11" t="n"/>
      <c r="C19" s="11" t="n"/>
      <c r="D19" s="11" t="n"/>
      <c r="E19" s="11" t="n"/>
      <c r="F19" s="15">
        <f>IF(B19&gt;0,C19/B19*100,"")</f>
        <v/>
      </c>
      <c r="G19" s="11" t="n"/>
    </row>
    <row r="20">
      <c r="A20" s="11" t="n"/>
      <c r="B20" s="11" t="n"/>
      <c r="C20" s="11" t="n"/>
      <c r="D20" s="11" t="n"/>
      <c r="E20" s="11" t="n"/>
      <c r="F20" s="15">
        <f>IF(B20&gt;0,C20/B20*100,"")</f>
        <v/>
      </c>
      <c r="G20" s="11" t="n"/>
    </row>
    <row r="21">
      <c r="A21" s="11" t="n"/>
      <c r="B21" s="11" t="n"/>
      <c r="C21" s="11" t="n"/>
      <c r="D21" s="11" t="n"/>
      <c r="E21" s="11" t="n"/>
      <c r="F21" s="15">
        <f>IF(B21&gt;0,C21/B21*100,"")</f>
        <v/>
      </c>
      <c r="G21" s="11" t="n"/>
    </row>
    <row r="22">
      <c r="A22" s="11" t="n"/>
      <c r="B22" s="11" t="n"/>
      <c r="C22" s="11" t="n"/>
      <c r="D22" s="11" t="n"/>
      <c r="E22" s="11" t="n"/>
      <c r="F22" s="15">
        <f>IF(B22&gt;0,C22/B22*100,"")</f>
        <v/>
      </c>
      <c r="G22" s="11" t="n"/>
    </row>
    <row r="23">
      <c r="A23" s="11" t="n"/>
      <c r="B23" s="11" t="n"/>
      <c r="C23" s="11" t="n"/>
      <c r="D23" s="11" t="n"/>
      <c r="E23" s="11" t="n"/>
      <c r="F23" s="15">
        <f>IF(B23&gt;0,C23/B23*100,"")</f>
        <v/>
      </c>
      <c r="G23" s="11" t="n"/>
    </row>
    <row r="24">
      <c r="A24" s="11" t="n"/>
      <c r="B24" s="11" t="n"/>
      <c r="C24" s="11" t="n"/>
      <c r="D24" s="11" t="n"/>
      <c r="E24" s="11" t="n"/>
      <c r="F24" s="15">
        <f>IF(B24&gt;0,C24/B24*100,"")</f>
        <v/>
      </c>
      <c r="G24" s="11" t="n"/>
    </row>
    <row r="25">
      <c r="A25" s="11" t="n"/>
      <c r="B25" s="11" t="n"/>
      <c r="C25" s="11" t="n"/>
      <c r="D25" s="11" t="n"/>
      <c r="E25" s="11" t="n"/>
      <c r="F25" s="15">
        <f>IF(B25&gt;0,C25/B25*100,"")</f>
        <v/>
      </c>
      <c r="G25" s="11" t="n"/>
    </row>
    <row r="26">
      <c r="A26" s="11" t="n"/>
      <c r="B26" s="11" t="n"/>
      <c r="C26" s="11" t="n"/>
      <c r="D26" s="11" t="n"/>
      <c r="E26" s="11" t="n"/>
      <c r="F26" s="15">
        <f>IF(B26&gt;0,C26/B26*100,"")</f>
        <v/>
      </c>
      <c r="G26" s="11" t="n"/>
    </row>
    <row r="27">
      <c r="A27" s="11" t="n"/>
      <c r="B27" s="11" t="n"/>
      <c r="C27" s="11" t="n"/>
      <c r="D27" s="11" t="n"/>
      <c r="E27" s="11" t="n"/>
      <c r="F27" s="15">
        <f>IF(B27&gt;0,C27/B27*100,"")</f>
        <v/>
      </c>
      <c r="G27" s="11" t="n"/>
    </row>
    <row r="28">
      <c r="A28" s="11" t="n"/>
      <c r="B28" s="11" t="n"/>
      <c r="C28" s="11" t="n"/>
      <c r="D28" s="11" t="n"/>
      <c r="E28" s="11" t="n"/>
      <c r="F28" s="15">
        <f>IF(B28&gt;0,C28/B28*100,"")</f>
        <v/>
      </c>
      <c r="G28" s="11" t="n"/>
    </row>
    <row r="29">
      <c r="A29" s="11" t="n"/>
      <c r="B29" s="11" t="n"/>
      <c r="C29" s="11" t="n"/>
      <c r="D29" s="11" t="n"/>
      <c r="E29" s="11" t="n"/>
      <c r="F29" s="15">
        <f>IF(B29&gt;0,C29/B29*100,"")</f>
        <v/>
      </c>
      <c r="G29" s="11" t="n"/>
    </row>
    <row r="30">
      <c r="A30" s="11" t="n"/>
      <c r="B30" s="11" t="n"/>
      <c r="C30" s="11" t="n"/>
      <c r="D30" s="11" t="n"/>
      <c r="E30" s="11" t="n"/>
      <c r="F30" s="15">
        <f>IF(B30&gt;0,C30/B30*100,"")</f>
        <v/>
      </c>
      <c r="G30" s="11" t="n"/>
    </row>
    <row r="31">
      <c r="A31" s="11" t="n"/>
      <c r="B31" s="11" t="n"/>
      <c r="C31" s="11" t="n"/>
      <c r="D31" s="11" t="n"/>
      <c r="E31" s="11" t="n"/>
      <c r="F31" s="15">
        <f>IF(B31&gt;0,C31/B31*100,"")</f>
        <v/>
      </c>
      <c r="G31" s="11" t="n"/>
    </row>
    <row r="32">
      <c r="A32" s="11" t="n"/>
      <c r="B32" s="11" t="n"/>
      <c r="C32" s="11" t="n"/>
      <c r="D32" s="11" t="n"/>
      <c r="E32" s="11" t="n"/>
      <c r="F32" s="15">
        <f>IF(B32&gt;0,C32/B32*100,"")</f>
        <v/>
      </c>
      <c r="G32" s="11" t="n"/>
    </row>
    <row r="33">
      <c r="A33" s="11" t="n"/>
      <c r="B33" s="11" t="n"/>
      <c r="C33" s="11" t="n"/>
      <c r="D33" s="11" t="n"/>
      <c r="E33" s="11" t="n"/>
      <c r="F33" s="15">
        <f>IF(B33&gt;0,C33/B33*100,"")</f>
        <v/>
      </c>
      <c r="G33" s="11" t="n"/>
    </row>
    <row r="34">
      <c r="A34" s="11" t="n"/>
      <c r="B34" s="11" t="n"/>
      <c r="C34" s="11" t="n"/>
      <c r="D34" s="11" t="n"/>
      <c r="E34" s="11" t="n"/>
      <c r="F34" s="15">
        <f>IF(B34&gt;0,C34/B34*100,"")</f>
        <v/>
      </c>
      <c r="G34" s="11" t="n"/>
    </row>
    <row r="35">
      <c r="A35" s="11" t="n"/>
      <c r="B35" s="11" t="n"/>
      <c r="C35" s="11" t="n"/>
      <c r="D35" s="11" t="n"/>
      <c r="E35" s="11" t="n"/>
      <c r="F35" s="15">
        <f>IF(B35&gt;0,C35/B35*100,"")</f>
        <v/>
      </c>
      <c r="G35" s="11" t="n"/>
    </row>
    <row r="36">
      <c r="A36" s="11" t="n"/>
      <c r="B36" s="11" t="n"/>
      <c r="C36" s="11" t="n"/>
      <c r="D36" s="11" t="n"/>
      <c r="E36" s="11" t="n"/>
      <c r="F36" s="15">
        <f>IF(B36&gt;0,C36/B36*100,"")</f>
        <v/>
      </c>
      <c r="G36" s="11" t="n"/>
    </row>
    <row r="37">
      <c r="A37" s="11" t="n"/>
      <c r="B37" s="11" t="n"/>
      <c r="C37" s="11" t="n"/>
      <c r="D37" s="11" t="n"/>
      <c r="E37" s="11" t="n"/>
      <c r="F37" s="15">
        <f>IF(B37&gt;0,C37/B37*100,"")</f>
        <v/>
      </c>
      <c r="G37" s="11" t="n"/>
    </row>
    <row r="38">
      <c r="A38" s="11" t="n"/>
      <c r="B38" s="11" t="n"/>
      <c r="C38" s="11" t="n"/>
      <c r="D38" s="11" t="n"/>
      <c r="E38" s="11" t="n"/>
      <c r="F38" s="15">
        <f>IF(B38&gt;0,C38/B38*100,"")</f>
        <v/>
      </c>
      <c r="G38" s="11" t="n"/>
    </row>
    <row r="39">
      <c r="A39" s="11" t="n"/>
      <c r="B39" s="11" t="n"/>
      <c r="C39" s="11" t="n"/>
      <c r="D39" s="11" t="n"/>
      <c r="E39" s="11" t="n"/>
      <c r="F39" s="15">
        <f>IF(B39&gt;0,C39/B39*100,"")</f>
        <v/>
      </c>
      <c r="G39" s="11" t="n"/>
    </row>
    <row r="40">
      <c r="F40" s="16">
        <f>IF(B40&gt;0,C40/B40*100,"")</f>
        <v/>
      </c>
    </row>
    <row r="41">
      <c r="F41" s="16">
        <f>IF(B41&gt;0,C41/B41*100,"")</f>
        <v/>
      </c>
    </row>
    <row r="42">
      <c r="F42" s="16">
        <f>IF(B42&gt;0,C42/B42*100,"")</f>
        <v/>
      </c>
    </row>
    <row r="43">
      <c r="F43" s="16">
        <f>IF(B43&gt;0,C43/B43*100,"")</f>
        <v/>
      </c>
    </row>
    <row r="44">
      <c r="F44" s="16">
        <f>IF(B44&gt;0,C44/B44*100,"")</f>
        <v/>
      </c>
    </row>
    <row r="45">
      <c r="F45" s="16">
        <f>IF(B45&gt;0,C45/B45*100,"")</f>
        <v/>
      </c>
    </row>
    <row r="46">
      <c r="F46" s="16">
        <f>IF(B46&gt;0,C46/B46*100,"")</f>
        <v/>
      </c>
    </row>
    <row r="47">
      <c r="F47" s="16">
        <f>IF(B47&gt;0,C47/B47*100,"")</f>
        <v/>
      </c>
    </row>
    <row r="48">
      <c r="F48" s="16">
        <f>IF(B48&gt;0,C48/B48*100,"")</f>
        <v/>
      </c>
    </row>
    <row r="49">
      <c r="F49" s="16">
        <f>IF(B49&gt;0,C49/B49*100,"")</f>
        <v/>
      </c>
    </row>
    <row r="50">
      <c r="F50" s="16">
        <f>IF(B50&gt;0,C50/B50*100,"")</f>
        <v/>
      </c>
    </row>
    <row r="51">
      <c r="F51" s="16">
        <f>IF(B51&gt;0,C51/B51*100,"")</f>
        <v/>
      </c>
    </row>
    <row r="52">
      <c r="F52" s="16">
        <f>IF(B52&gt;0,C52/B52*100,"")</f>
        <v/>
      </c>
    </row>
    <row r="53">
      <c r="F53" s="16">
        <f>IF(B53&gt;0,C53/B53*100,"")</f>
        <v/>
      </c>
    </row>
    <row r="54">
      <c r="F54" s="16">
        <f>IF(B54&gt;0,C54/B54*100,"")</f>
        <v/>
      </c>
    </row>
    <row r="55">
      <c r="F55" s="16">
        <f>IF(B55&gt;0,C55/B55*100,"")</f>
        <v/>
      </c>
    </row>
    <row r="56">
      <c r="F56" s="16">
        <f>IF(B56&gt;0,C56/B56*100,"")</f>
        <v/>
      </c>
    </row>
    <row r="57">
      <c r="F57" s="16">
        <f>IF(B57&gt;0,C57/B57*100,"")</f>
        <v/>
      </c>
    </row>
    <row r="58">
      <c r="F58" s="16">
        <f>IF(B58&gt;0,C58/B58*100,"")</f>
        <v/>
      </c>
    </row>
    <row r="59">
      <c r="F59" s="16">
        <f>IF(B59&gt;0,C59/B59*100,"")</f>
        <v/>
      </c>
    </row>
    <row r="60">
      <c r="F60" s="16">
        <f>IF(B60&gt;0,C60/B60*100,"")</f>
        <v/>
      </c>
    </row>
    <row r="61">
      <c r="F61" s="16">
        <f>IF(B61&gt;0,C61/B61*100,"")</f>
        <v/>
      </c>
    </row>
    <row r="62">
      <c r="F62" s="16">
        <f>IF(B62&gt;0,C62/B62*100,"")</f>
        <v/>
      </c>
    </row>
    <row r="63">
      <c r="F63" s="16">
        <f>IF(B63&gt;0,C63/B63*100,"")</f>
        <v/>
      </c>
    </row>
    <row r="64">
      <c r="F64" s="16">
        <f>IF(B64&gt;0,C64/B64*100,"")</f>
        <v/>
      </c>
    </row>
    <row r="65">
      <c r="F65" s="16">
        <f>IF(B65&gt;0,C65/B65*100,"")</f>
        <v/>
      </c>
    </row>
    <row r="66">
      <c r="F66" s="16">
        <f>IF(B66&gt;0,C66/B66*100,"")</f>
        <v/>
      </c>
    </row>
    <row r="67">
      <c r="F67" s="16">
        <f>IF(B67&gt;0,C67/B67*100,"")</f>
        <v/>
      </c>
    </row>
    <row r="68">
      <c r="F68" s="16">
        <f>IF(B68&gt;0,C68/B68*100,"")</f>
        <v/>
      </c>
    </row>
    <row r="69">
      <c r="F69" s="16">
        <f>IF(B69&gt;0,C69/B69*100,"")</f>
        <v/>
      </c>
    </row>
    <row r="70">
      <c r="F70" s="16">
        <f>IF(B70&gt;0,C70/B70*100,"")</f>
        <v/>
      </c>
    </row>
    <row r="71">
      <c r="F71" s="16">
        <f>IF(B71&gt;0,C71/B71*100,"")</f>
        <v/>
      </c>
    </row>
    <row r="72">
      <c r="F72" s="16">
        <f>IF(B72&gt;0,C72/B72*100,"")</f>
        <v/>
      </c>
    </row>
    <row r="73">
      <c r="F73" s="16">
        <f>IF(B73&gt;0,C73/B73*100,"")</f>
        <v/>
      </c>
    </row>
    <row r="74">
      <c r="F74" s="16">
        <f>IF(B74&gt;0,C74/B74*100,"")</f>
        <v/>
      </c>
    </row>
    <row r="75">
      <c r="F75" s="16">
        <f>IF(B75&gt;0,C75/B75*100,"")</f>
        <v/>
      </c>
    </row>
    <row r="76">
      <c r="F76" s="16">
        <f>IF(B76&gt;0,C76/B76*100,"")</f>
        <v/>
      </c>
    </row>
    <row r="77">
      <c r="F77" s="16">
        <f>IF(B77&gt;0,C77/B77*100,"")</f>
        <v/>
      </c>
    </row>
    <row r="78">
      <c r="F78" s="16">
        <f>IF(B78&gt;0,C78/B78*100,"")</f>
        <v/>
      </c>
    </row>
    <row r="79">
      <c r="F79" s="16">
        <f>IF(B79&gt;0,C79/B79*100,"")</f>
        <v/>
      </c>
    </row>
    <row r="80">
      <c r="F80" s="16">
        <f>IF(B80&gt;0,C80/B80*100,"")</f>
        <v/>
      </c>
    </row>
    <row r="81">
      <c r="F81" s="16">
        <f>IF(B81&gt;0,C81/B81*100,"")</f>
        <v/>
      </c>
    </row>
    <row r="82">
      <c r="F82" s="16">
        <f>IF(B82&gt;0,C82/B82*100,"")</f>
        <v/>
      </c>
    </row>
    <row r="83">
      <c r="F83" s="16">
        <f>IF(B83&gt;0,C83/B83*100,"")</f>
        <v/>
      </c>
    </row>
    <row r="84">
      <c r="F84" s="16">
        <f>IF(B84&gt;0,C84/B84*100,"")</f>
        <v/>
      </c>
    </row>
    <row r="85">
      <c r="F85" s="16">
        <f>IF(B85&gt;0,C85/B85*100,"")</f>
        <v/>
      </c>
    </row>
    <row r="86">
      <c r="F86" s="16">
        <f>IF(B86&gt;0,C86/B86*100,"")</f>
        <v/>
      </c>
    </row>
    <row r="87">
      <c r="F87" s="16">
        <f>IF(B87&gt;0,C87/B87*100,"")</f>
        <v/>
      </c>
    </row>
    <row r="88">
      <c r="F88" s="16">
        <f>IF(B88&gt;0,C88/B88*100,"")</f>
        <v/>
      </c>
    </row>
    <row r="89">
      <c r="F89" s="16">
        <f>IF(B89&gt;0,C89/B89*100,"")</f>
        <v/>
      </c>
    </row>
    <row r="90">
      <c r="F90" s="16">
        <f>IF(B90&gt;0,C90/B90*100,"")</f>
        <v/>
      </c>
    </row>
    <row r="91">
      <c r="F91" s="16">
        <f>IF(B91&gt;0,C91/B91*100,"")</f>
        <v/>
      </c>
    </row>
    <row r="92">
      <c r="F92" s="16">
        <f>IF(B92&gt;0,C92/B92*100,"")</f>
        <v/>
      </c>
    </row>
    <row r="93">
      <c r="F93" s="16">
        <f>IF(B93&gt;0,C93/B93*100,"")</f>
        <v/>
      </c>
    </row>
    <row r="94">
      <c r="F94" s="16">
        <f>IF(B94&gt;0,C94/B94*100,"")</f>
        <v/>
      </c>
    </row>
    <row r="95">
      <c r="F95" s="16">
        <f>IF(B95&gt;0,C95/B95*100,"")</f>
        <v/>
      </c>
    </row>
    <row r="96">
      <c r="F96" s="16">
        <f>IF(B96&gt;0,C96/B96*100,"")</f>
        <v/>
      </c>
    </row>
    <row r="97">
      <c r="F97" s="16">
        <f>IF(B97&gt;0,C97/B97*100,"")</f>
        <v/>
      </c>
    </row>
    <row r="98">
      <c r="F98" s="16">
        <f>IF(B98&gt;0,C98/B98*100,"")</f>
        <v/>
      </c>
    </row>
    <row r="99">
      <c r="F99" s="16">
        <f>IF(B99&gt;0,C99/B99*100,"")</f>
        <v/>
      </c>
    </row>
    <row r="100">
      <c r="F100" s="16">
        <f>IF(B100&gt;0,C100/B100*100,"")</f>
        <v/>
      </c>
    </row>
    <row r="101">
      <c r="F101" s="16">
        <f>IF(B101&gt;0,C101/B101*100,"")</f>
        <v/>
      </c>
    </row>
    <row r="102">
      <c r="F102" s="16">
        <f>IF(B102&gt;0,C102/B102*100,"")</f>
        <v/>
      </c>
    </row>
    <row r="103">
      <c r="F103" s="16">
        <f>IF(B103&gt;0,C103/B103*100,"")</f>
        <v/>
      </c>
    </row>
    <row r="104">
      <c r="F104" s="16">
        <f>IF(B104&gt;0,C104/B104*100,"")</f>
        <v/>
      </c>
    </row>
    <row r="105">
      <c r="F105" s="16">
        <f>IF(B105&gt;0,C105/B105*100,"")</f>
        <v/>
      </c>
    </row>
    <row r="106">
      <c r="F106" s="16">
        <f>IF(B106&gt;0,C106/B106*100,"")</f>
        <v/>
      </c>
    </row>
    <row r="107">
      <c r="F107" s="16">
        <f>IF(B107&gt;0,C107/B107*100,"")</f>
        <v/>
      </c>
    </row>
    <row r="108">
      <c r="F108" s="16">
        <f>IF(B108&gt;0,C108/B108*100,"")</f>
        <v/>
      </c>
    </row>
    <row r="109">
      <c r="F109" s="16">
        <f>IF(B109&gt;0,C109/B109*100,"")</f>
        <v/>
      </c>
    </row>
    <row r="110">
      <c r="F110" s="16">
        <f>IF(B110&gt;0,C110/B110*100,"")</f>
        <v/>
      </c>
    </row>
    <row r="111">
      <c r="F111" s="16">
        <f>IF(B111&gt;0,C111/B111*100,"")</f>
        <v/>
      </c>
    </row>
    <row r="112">
      <c r="F112" s="16">
        <f>IF(B112&gt;0,C112/B112*100,"")</f>
        <v/>
      </c>
    </row>
    <row r="113">
      <c r="F113" s="16">
        <f>IF(B113&gt;0,C113/B113*100,"")</f>
        <v/>
      </c>
    </row>
    <row r="114">
      <c r="F114" s="16">
        <f>IF(B114&gt;0,C114/B114*100,"")</f>
        <v/>
      </c>
    </row>
    <row r="115">
      <c r="F115" s="16">
        <f>IF(B115&gt;0,C115/B115*100,"")</f>
        <v/>
      </c>
    </row>
    <row r="116">
      <c r="F116" s="16">
        <f>IF(B116&gt;0,C116/B116*100,"")</f>
        <v/>
      </c>
    </row>
    <row r="117">
      <c r="F117" s="16">
        <f>IF(B117&gt;0,C117/B117*100,"")</f>
        <v/>
      </c>
    </row>
    <row r="118">
      <c r="F118" s="16">
        <f>IF(B118&gt;0,C118/B118*100,"")</f>
        <v/>
      </c>
    </row>
    <row r="119">
      <c r="F119" s="16">
        <f>IF(B119&gt;0,C119/B119*100,"")</f>
        <v/>
      </c>
    </row>
    <row r="120">
      <c r="F120" s="16">
        <f>IF(B120&gt;0,C120/B120*100,"")</f>
        <v/>
      </c>
    </row>
    <row r="121">
      <c r="F121" s="16">
        <f>IF(B121&gt;0,C121/B121*100,"")</f>
        <v/>
      </c>
    </row>
    <row r="122">
      <c r="F122" s="16">
        <f>IF(B122&gt;0,C122/B122*100,"")</f>
        <v/>
      </c>
    </row>
    <row r="123">
      <c r="F123" s="16">
        <f>IF(B123&gt;0,C123/B123*100,"")</f>
        <v/>
      </c>
    </row>
    <row r="124">
      <c r="F124" s="16">
        <f>IF(B124&gt;0,C124/B124*100,"")</f>
        <v/>
      </c>
    </row>
    <row r="125">
      <c r="F125" s="16">
        <f>IF(B125&gt;0,C125/B125*100,"")</f>
        <v/>
      </c>
    </row>
    <row r="126">
      <c r="F126" s="16">
        <f>IF(B126&gt;0,C126/B126*100,"")</f>
        <v/>
      </c>
    </row>
    <row r="127">
      <c r="F127" s="16">
        <f>IF(B127&gt;0,C127/B127*100,"")</f>
        <v/>
      </c>
    </row>
    <row r="128">
      <c r="F128" s="16">
        <f>IF(B128&gt;0,C128/B128*100,"")</f>
        <v/>
      </c>
    </row>
    <row r="129">
      <c r="F129" s="16">
        <f>IF(B129&gt;0,C129/B129*100,"")</f>
        <v/>
      </c>
    </row>
    <row r="130">
      <c r="F130" s="16">
        <f>IF(B130&gt;0,C130/B130*100,"")</f>
        <v/>
      </c>
    </row>
    <row r="131">
      <c r="F131" s="16">
        <f>IF(B131&gt;0,C131/B131*100,"")</f>
        <v/>
      </c>
    </row>
    <row r="132">
      <c r="F132" s="16">
        <f>IF(B132&gt;0,C132/B132*100,"")</f>
        <v/>
      </c>
    </row>
    <row r="133">
      <c r="F133" s="16">
        <f>IF(B133&gt;0,C133/B133*100,"")</f>
        <v/>
      </c>
    </row>
    <row r="134">
      <c r="F134" s="16">
        <f>IF(B134&gt;0,C134/B134*100,"")</f>
        <v/>
      </c>
    </row>
    <row r="135">
      <c r="F135" s="16">
        <f>IF(B135&gt;0,C135/B135*100,"")</f>
        <v/>
      </c>
    </row>
    <row r="136">
      <c r="F136" s="16">
        <f>IF(B136&gt;0,C136/B136*100,"")</f>
        <v/>
      </c>
    </row>
    <row r="137">
      <c r="F137" s="16">
        <f>IF(B137&gt;0,C137/B137*100,"")</f>
        <v/>
      </c>
    </row>
    <row r="138">
      <c r="F138" s="16">
        <f>IF(B138&gt;0,C138/B138*100,"")</f>
        <v/>
      </c>
    </row>
    <row r="139">
      <c r="F139" s="16">
        <f>IF(B139&gt;0,C139/B139*100,"")</f>
        <v/>
      </c>
    </row>
    <row r="140">
      <c r="F140" s="16">
        <f>IF(B140&gt;0,C140/B140*100,"")</f>
        <v/>
      </c>
    </row>
    <row r="141">
      <c r="F141" s="16">
        <f>IF(B141&gt;0,C141/B141*100,"")</f>
        <v/>
      </c>
    </row>
    <row r="142">
      <c r="F142" s="16">
        <f>IF(B142&gt;0,C142/B142*100,"")</f>
        <v/>
      </c>
    </row>
    <row r="143">
      <c r="F143" s="16">
        <f>IF(B143&gt;0,C143/B143*100,"")</f>
        <v/>
      </c>
    </row>
    <row r="144">
      <c r="F144" s="16">
        <f>IF(B144&gt;0,C144/B144*100,"")</f>
        <v/>
      </c>
    </row>
    <row r="145">
      <c r="F145" s="16">
        <f>IF(B145&gt;0,C145/B145*100,"")</f>
        <v/>
      </c>
    </row>
    <row r="146">
      <c r="F146" s="16">
        <f>IF(B146&gt;0,C146/B146*100,"")</f>
        <v/>
      </c>
    </row>
    <row r="147">
      <c r="F147" s="16">
        <f>IF(B147&gt;0,C147/B147*100,"")</f>
        <v/>
      </c>
    </row>
    <row r="148">
      <c r="F148" s="16">
        <f>IF(B148&gt;0,C148/B148*100,"")</f>
        <v/>
      </c>
    </row>
    <row r="149">
      <c r="F149" s="16">
        <f>IF(B149&gt;0,C149/B149*100,"")</f>
        <v/>
      </c>
    </row>
    <row r="150">
      <c r="F150" s="16">
        <f>IF(B150&gt;0,C150/B150*100,"")</f>
        <v/>
      </c>
    </row>
    <row r="151">
      <c r="F151" s="16">
        <f>IF(B151&gt;0,C151/B151*100,"")</f>
        <v/>
      </c>
    </row>
    <row r="152">
      <c r="F152" s="16">
        <f>IF(B152&gt;0,C152/B152*100,"")</f>
        <v/>
      </c>
    </row>
    <row r="153">
      <c r="F153" s="16">
        <f>IF(B153&gt;0,C153/B153*100,"")</f>
        <v/>
      </c>
    </row>
    <row r="154">
      <c r="F154" s="16">
        <f>IF(B154&gt;0,C154/B154*100,"")</f>
        <v/>
      </c>
    </row>
    <row r="155">
      <c r="F155" s="16">
        <f>IF(B155&gt;0,C155/B155*100,"")</f>
        <v/>
      </c>
    </row>
    <row r="156">
      <c r="F156" s="16">
        <f>IF(B156&gt;0,C156/B156*100,"")</f>
        <v/>
      </c>
    </row>
    <row r="157">
      <c r="F157" s="16">
        <f>IF(B157&gt;0,C157/B157*100,"")</f>
        <v/>
      </c>
    </row>
    <row r="158">
      <c r="F158" s="16">
        <f>IF(B158&gt;0,C158/B158*100,"")</f>
        <v/>
      </c>
    </row>
    <row r="159">
      <c r="F159" s="16">
        <f>IF(B159&gt;0,C159/B159*100,"")</f>
        <v/>
      </c>
    </row>
    <row r="160">
      <c r="F160" s="16">
        <f>IF(B160&gt;0,C160/B160*100,"")</f>
        <v/>
      </c>
    </row>
    <row r="161">
      <c r="F161" s="16">
        <f>IF(B161&gt;0,C161/B161*100,"")</f>
        <v/>
      </c>
    </row>
    <row r="162">
      <c r="F162" s="16">
        <f>IF(B162&gt;0,C162/B162*100,"")</f>
        <v/>
      </c>
    </row>
    <row r="163">
      <c r="F163" s="16">
        <f>IF(B163&gt;0,C163/B163*100,"")</f>
        <v/>
      </c>
    </row>
    <row r="164">
      <c r="F164" s="16">
        <f>IF(B164&gt;0,C164/B164*100,"")</f>
        <v/>
      </c>
    </row>
    <row r="165">
      <c r="F165" s="16">
        <f>IF(B165&gt;0,C165/B165*100,"")</f>
        <v/>
      </c>
    </row>
    <row r="166">
      <c r="F166" s="16">
        <f>IF(B166&gt;0,C166/B166*100,"")</f>
        <v/>
      </c>
    </row>
    <row r="167">
      <c r="F167" s="16">
        <f>IF(B167&gt;0,C167/B167*100,"")</f>
        <v/>
      </c>
    </row>
    <row r="168">
      <c r="F168" s="16">
        <f>IF(B168&gt;0,C168/B168*100,"")</f>
        <v/>
      </c>
    </row>
    <row r="169">
      <c r="F169" s="16">
        <f>IF(B169&gt;0,C169/B169*100,"")</f>
        <v/>
      </c>
    </row>
    <row r="170">
      <c r="F170" s="16">
        <f>IF(B170&gt;0,C170/B170*100,"")</f>
        <v/>
      </c>
    </row>
    <row r="171">
      <c r="F171" s="16">
        <f>IF(B171&gt;0,C171/B171*100,"")</f>
        <v/>
      </c>
    </row>
    <row r="172">
      <c r="F172" s="16">
        <f>IF(B172&gt;0,C172/B172*100,"")</f>
        <v/>
      </c>
    </row>
    <row r="173">
      <c r="F173" s="16">
        <f>IF(B173&gt;0,C173/B173*100,"")</f>
        <v/>
      </c>
    </row>
    <row r="174">
      <c r="F174" s="16">
        <f>IF(B174&gt;0,C174/B174*100,"")</f>
        <v/>
      </c>
    </row>
    <row r="175">
      <c r="F175" s="16">
        <f>IF(B175&gt;0,C175/B175*100,"")</f>
        <v/>
      </c>
    </row>
    <row r="176">
      <c r="F176" s="16">
        <f>IF(B176&gt;0,C176/B176*100,"")</f>
        <v/>
      </c>
    </row>
    <row r="177">
      <c r="F177" s="16">
        <f>IF(B177&gt;0,C177/B177*100,"")</f>
        <v/>
      </c>
    </row>
    <row r="178">
      <c r="F178" s="16">
        <f>IF(B178&gt;0,C178/B178*100,"")</f>
        <v/>
      </c>
    </row>
    <row r="179">
      <c r="F179" s="16">
        <f>IF(B179&gt;0,C179/B179*100,"")</f>
        <v/>
      </c>
    </row>
    <row r="180">
      <c r="F180" s="16">
        <f>IF(B180&gt;0,C180/B180*100,"")</f>
        <v/>
      </c>
    </row>
    <row r="181">
      <c r="F181" s="16">
        <f>IF(B181&gt;0,C181/B181*100,"")</f>
        <v/>
      </c>
    </row>
    <row r="182">
      <c r="F182" s="16">
        <f>IF(B182&gt;0,C182/B182*100,"")</f>
        <v/>
      </c>
    </row>
    <row r="183">
      <c r="F183" s="16">
        <f>IF(B183&gt;0,C183/B183*100,"")</f>
        <v/>
      </c>
    </row>
    <row r="184">
      <c r="F184" s="16">
        <f>IF(B184&gt;0,C184/B184*100,"")</f>
        <v/>
      </c>
    </row>
    <row r="185">
      <c r="F185" s="16">
        <f>IF(B185&gt;0,C185/B185*100,"")</f>
        <v/>
      </c>
    </row>
    <row r="186">
      <c r="F186" s="16">
        <f>IF(B186&gt;0,C186/B186*100,"")</f>
        <v/>
      </c>
    </row>
    <row r="187">
      <c r="F187" s="16">
        <f>IF(B187&gt;0,C187/B187*100,"")</f>
        <v/>
      </c>
    </row>
    <row r="188">
      <c r="F188" s="16">
        <f>IF(B188&gt;0,C188/B188*100,"")</f>
        <v/>
      </c>
    </row>
    <row r="189">
      <c r="F189" s="16">
        <f>IF(B189&gt;0,C189/B189*100,"")</f>
        <v/>
      </c>
    </row>
    <row r="190">
      <c r="F190" s="16">
        <f>IF(B190&gt;0,C190/B190*100,"")</f>
        <v/>
      </c>
    </row>
    <row r="191">
      <c r="F191" s="16">
        <f>IF(B191&gt;0,C191/B191*100,"")</f>
        <v/>
      </c>
    </row>
    <row r="192">
      <c r="F192" s="16">
        <f>IF(B192&gt;0,C192/B192*100,"")</f>
        <v/>
      </c>
    </row>
    <row r="193">
      <c r="F193" s="16">
        <f>IF(B193&gt;0,C193/B193*100,"")</f>
        <v/>
      </c>
    </row>
    <row r="194">
      <c r="F194" s="16">
        <f>IF(B194&gt;0,C194/B194*100,"")</f>
        <v/>
      </c>
    </row>
    <row r="195">
      <c r="F195" s="16">
        <f>IF(B195&gt;0,C195/B195*100,"")</f>
        <v/>
      </c>
    </row>
    <row r="196">
      <c r="F196" s="16">
        <f>IF(B196&gt;0,C196/B196*100,"")</f>
        <v/>
      </c>
    </row>
    <row r="197">
      <c r="F197" s="16">
        <f>IF(B197&gt;0,C197/B197*100,"")</f>
        <v/>
      </c>
    </row>
    <row r="198">
      <c r="F198" s="16">
        <f>IF(B198&gt;0,C198/B198*100,"")</f>
        <v/>
      </c>
    </row>
    <row r="199">
      <c r="F199" s="16">
        <f>IF(B199&gt;0,C199/B199*100,"")</f>
        <v/>
      </c>
    </row>
    <row r="200">
      <c r="F200" s="16">
        <f>IF(B200&gt;0,C200/B200*100,"")</f>
        <v/>
      </c>
    </row>
    <row r="201">
      <c r="F201" s="16">
        <f>IF(B201&gt;0,C201/B201*100,"")</f>
        <v/>
      </c>
    </row>
    <row r="202">
      <c r="F202" s="16">
        <f>IF(B202&gt;0,C202/B202*100,"")</f>
        <v/>
      </c>
    </row>
    <row r="203">
      <c r="F203" s="16">
        <f>IF(B203&gt;0,C203/B203*100,"")</f>
        <v/>
      </c>
    </row>
    <row r="204">
      <c r="F204" s="16">
        <f>IF(B204&gt;0,C204/B204*100,"")</f>
        <v/>
      </c>
    </row>
    <row r="205">
      <c r="F205" s="16">
        <f>IF(B205&gt;0,C205/B205*100,"")</f>
        <v/>
      </c>
    </row>
    <row r="206">
      <c r="F206" s="16">
        <f>IF(B206&gt;0,C206/B206*100,"")</f>
        <v/>
      </c>
    </row>
    <row r="207">
      <c r="F207" s="16">
        <f>IF(B207&gt;0,C207/B207*100,"")</f>
        <v/>
      </c>
    </row>
    <row r="208">
      <c r="F208" s="16">
        <f>IF(B208&gt;0,C208/B208*100,"")</f>
        <v/>
      </c>
    </row>
    <row r="209">
      <c r="F209" s="16">
        <f>IF(B209&gt;0,C209/B209*100,"")</f>
        <v/>
      </c>
    </row>
    <row r="210">
      <c r="F210" s="16">
        <f>IF(B210&gt;0,C210/B210*100,"")</f>
        <v/>
      </c>
    </row>
    <row r="211">
      <c r="F211" s="16">
        <f>IF(B211&gt;0,C211/B211*100,"")</f>
        <v/>
      </c>
    </row>
    <row r="212">
      <c r="F212" s="16">
        <f>IF(B212&gt;0,C212/B212*100,"")</f>
        <v/>
      </c>
    </row>
    <row r="213">
      <c r="F213" s="16">
        <f>IF(B213&gt;0,C213/B213*100,"")</f>
        <v/>
      </c>
    </row>
    <row r="214">
      <c r="F214" s="16">
        <f>IF(B214&gt;0,C214/B214*100,"")</f>
        <v/>
      </c>
    </row>
    <row r="215">
      <c r="F215" s="16">
        <f>IF(B215&gt;0,C215/B215*100,"")</f>
        <v/>
      </c>
    </row>
    <row r="216">
      <c r="F216" s="16">
        <f>IF(B216&gt;0,C216/B216*100,"")</f>
        <v/>
      </c>
    </row>
    <row r="217">
      <c r="F217" s="16">
        <f>IF(B217&gt;0,C217/B217*100,"")</f>
        <v/>
      </c>
    </row>
    <row r="218">
      <c r="F218" s="16">
        <f>IF(B218&gt;0,C218/B218*100,"")</f>
        <v/>
      </c>
    </row>
    <row r="219">
      <c r="F219" s="16">
        <f>IF(B219&gt;0,C219/B219*100,"")</f>
        <v/>
      </c>
    </row>
    <row r="220">
      <c r="F220" s="16">
        <f>IF(B220&gt;0,C220/B220*100,"")</f>
        <v/>
      </c>
    </row>
    <row r="221">
      <c r="F221" s="16">
        <f>IF(B221&gt;0,C221/B221*100,"")</f>
        <v/>
      </c>
    </row>
    <row r="222">
      <c r="F222" s="16">
        <f>IF(B222&gt;0,C222/B222*100,"")</f>
        <v/>
      </c>
    </row>
    <row r="223">
      <c r="F223" s="16">
        <f>IF(B223&gt;0,C223/B223*100,"")</f>
        <v/>
      </c>
    </row>
    <row r="224">
      <c r="F224" s="16">
        <f>IF(B224&gt;0,C224/B224*100,"")</f>
        <v/>
      </c>
    </row>
    <row r="225">
      <c r="F225" s="16">
        <f>IF(B225&gt;0,C225/B225*100,"")</f>
        <v/>
      </c>
    </row>
    <row r="226">
      <c r="F226" s="16">
        <f>IF(B226&gt;0,C226/B226*100,"")</f>
        <v/>
      </c>
    </row>
    <row r="227">
      <c r="F227" s="16">
        <f>IF(B227&gt;0,C227/B227*100,"")</f>
        <v/>
      </c>
    </row>
    <row r="228">
      <c r="F228" s="16">
        <f>IF(B228&gt;0,C228/B228*100,"")</f>
        <v/>
      </c>
    </row>
    <row r="229">
      <c r="F229" s="16">
        <f>IF(B229&gt;0,C229/B229*100,"")</f>
        <v/>
      </c>
    </row>
    <row r="230">
      <c r="F230" s="16">
        <f>IF(B230&gt;0,C230/B230*100,"")</f>
        <v/>
      </c>
    </row>
    <row r="231">
      <c r="F231" s="16">
        <f>IF(B231&gt;0,C231/B231*100,"")</f>
        <v/>
      </c>
    </row>
    <row r="232">
      <c r="F232" s="16">
        <f>IF(B232&gt;0,C232/B232*100,"")</f>
        <v/>
      </c>
    </row>
    <row r="233">
      <c r="F233" s="16">
        <f>IF(B233&gt;0,C233/B233*100,"")</f>
        <v/>
      </c>
    </row>
    <row r="234">
      <c r="F234" s="16">
        <f>IF(B234&gt;0,C234/B234*100,"")</f>
        <v/>
      </c>
    </row>
    <row r="235">
      <c r="F235" s="16">
        <f>IF(B235&gt;0,C235/B235*100,"")</f>
        <v/>
      </c>
    </row>
    <row r="236">
      <c r="F236" s="16">
        <f>IF(B236&gt;0,C236/B236*100,"")</f>
        <v/>
      </c>
    </row>
    <row r="237">
      <c r="F237" s="16">
        <f>IF(B237&gt;0,C237/B237*100,"")</f>
        <v/>
      </c>
    </row>
    <row r="238">
      <c r="F238" s="16">
        <f>IF(B238&gt;0,C238/B238*100,"")</f>
        <v/>
      </c>
    </row>
    <row r="239">
      <c r="F239" s="16">
        <f>IF(B239&gt;0,C239/B239*100,"")</f>
        <v/>
      </c>
    </row>
    <row r="240">
      <c r="F240" s="16">
        <f>IF(B240&gt;0,C240/B240*100,"")</f>
        <v/>
      </c>
    </row>
    <row r="241">
      <c r="F241" s="16">
        <f>IF(B241&gt;0,C241/B241*100,"")</f>
        <v/>
      </c>
    </row>
    <row r="242">
      <c r="F242" s="16">
        <f>IF(B242&gt;0,C242/B242*100,"")</f>
        <v/>
      </c>
    </row>
    <row r="243">
      <c r="F243" s="16">
        <f>IF(B243&gt;0,C243/B243*100,"")</f>
        <v/>
      </c>
    </row>
    <row r="244">
      <c r="F244" s="16">
        <f>IF(B244&gt;0,C244/B244*100,"")</f>
        <v/>
      </c>
    </row>
    <row r="245">
      <c r="F245" s="16">
        <f>IF(B245&gt;0,C245/B245*100,"")</f>
        <v/>
      </c>
    </row>
    <row r="246">
      <c r="F246" s="16">
        <f>IF(B246&gt;0,C246/B246*100,"")</f>
        <v/>
      </c>
    </row>
    <row r="247">
      <c r="F247" s="16">
        <f>IF(B247&gt;0,C247/B247*100,"")</f>
        <v/>
      </c>
    </row>
    <row r="248">
      <c r="F248" s="16">
        <f>IF(B248&gt;0,C248/B248*100,"")</f>
        <v/>
      </c>
    </row>
    <row r="249">
      <c r="F249" s="16">
        <f>IF(B249&gt;0,C249/B249*100,"")</f>
        <v/>
      </c>
    </row>
    <row r="250">
      <c r="F250" s="16">
        <f>IF(B250&gt;0,C250/B250*100,"")</f>
        <v/>
      </c>
    </row>
    <row r="251">
      <c r="F251" s="16">
        <f>IF(B251&gt;0,C251/B251*100,"")</f>
        <v/>
      </c>
    </row>
    <row r="252">
      <c r="F252" s="16">
        <f>IF(B252&gt;0,C252/B252*100,"")</f>
        <v/>
      </c>
    </row>
    <row r="253">
      <c r="F253" s="16">
        <f>IF(B253&gt;0,C253/B253*100,"")</f>
        <v/>
      </c>
    </row>
    <row r="254">
      <c r="F254" s="16">
        <f>IF(B254&gt;0,C254/B254*100,"")</f>
        <v/>
      </c>
    </row>
    <row r="255">
      <c r="F255" s="16">
        <f>IF(B255&gt;0,C255/B255*100,"")</f>
        <v/>
      </c>
    </row>
    <row r="256">
      <c r="F256" s="16">
        <f>IF(B256&gt;0,C256/B256*100,"")</f>
        <v/>
      </c>
    </row>
    <row r="257">
      <c r="F257" s="16">
        <f>IF(B257&gt;0,C257/B257*100,"")</f>
        <v/>
      </c>
    </row>
    <row r="258">
      <c r="F258" s="16">
        <f>IF(B258&gt;0,C258/B258*100,"")</f>
        <v/>
      </c>
    </row>
    <row r="259">
      <c r="F259" s="16">
        <f>IF(B259&gt;0,C259/B259*100,"")</f>
        <v/>
      </c>
    </row>
    <row r="260">
      <c r="F260" s="16">
        <f>IF(B260&gt;0,C260/B260*100,"")</f>
        <v/>
      </c>
    </row>
    <row r="261">
      <c r="F261" s="16">
        <f>IF(B261&gt;0,C261/B261*100,"")</f>
        <v/>
      </c>
    </row>
    <row r="262">
      <c r="F262" s="16">
        <f>IF(B262&gt;0,C262/B262*100,"")</f>
        <v/>
      </c>
    </row>
    <row r="263">
      <c r="F263" s="16">
        <f>IF(B263&gt;0,C263/B263*100,"")</f>
        <v/>
      </c>
    </row>
    <row r="264">
      <c r="F264" s="16">
        <f>IF(B264&gt;0,C264/B264*100,"")</f>
        <v/>
      </c>
    </row>
    <row r="265">
      <c r="F265" s="16">
        <f>IF(B265&gt;0,C265/B265*100,"")</f>
        <v/>
      </c>
    </row>
    <row r="266">
      <c r="F266" s="16">
        <f>IF(B266&gt;0,C266/B266*100,"")</f>
        <v/>
      </c>
    </row>
    <row r="267">
      <c r="F267" s="16">
        <f>IF(B267&gt;0,C267/B267*100,"")</f>
        <v/>
      </c>
    </row>
    <row r="268">
      <c r="F268" s="16">
        <f>IF(B268&gt;0,C268/B268*100,"")</f>
        <v/>
      </c>
    </row>
    <row r="269">
      <c r="F269" s="16">
        <f>IF(B269&gt;0,C269/B269*100,"")</f>
        <v/>
      </c>
    </row>
    <row r="270">
      <c r="F270" s="16">
        <f>IF(B270&gt;0,C270/B270*100,"")</f>
        <v/>
      </c>
    </row>
    <row r="271">
      <c r="F271" s="16">
        <f>IF(B271&gt;0,C271/B271*100,"")</f>
        <v/>
      </c>
    </row>
    <row r="272">
      <c r="F272" s="16">
        <f>IF(B272&gt;0,C272/B272*100,"")</f>
        <v/>
      </c>
    </row>
    <row r="273">
      <c r="F273" s="16">
        <f>IF(B273&gt;0,C273/B273*100,"")</f>
        <v/>
      </c>
    </row>
    <row r="274">
      <c r="F274" s="16">
        <f>IF(B274&gt;0,C274/B274*100,"")</f>
        <v/>
      </c>
    </row>
    <row r="275">
      <c r="F275" s="16">
        <f>IF(B275&gt;0,C275/B275*100,"")</f>
        <v/>
      </c>
    </row>
    <row r="276">
      <c r="F276" s="16">
        <f>IF(B276&gt;0,C276/B276*100,"")</f>
        <v/>
      </c>
    </row>
    <row r="277">
      <c r="F277" s="16">
        <f>IF(B277&gt;0,C277/B277*100,"")</f>
        <v/>
      </c>
    </row>
    <row r="278">
      <c r="F278" s="16">
        <f>IF(B278&gt;0,C278/B278*100,"")</f>
        <v/>
      </c>
    </row>
    <row r="279">
      <c r="F279" s="16">
        <f>IF(B279&gt;0,C279/B279*100,"")</f>
        <v/>
      </c>
    </row>
    <row r="280">
      <c r="F280" s="16">
        <f>IF(B280&gt;0,C280/B280*100,"")</f>
        <v/>
      </c>
    </row>
    <row r="281">
      <c r="F281" s="16">
        <f>IF(B281&gt;0,C281/B281*100,"")</f>
        <v/>
      </c>
    </row>
    <row r="282">
      <c r="F282" s="16">
        <f>IF(B282&gt;0,C282/B282*100,"")</f>
        <v/>
      </c>
    </row>
    <row r="283">
      <c r="F283" s="16">
        <f>IF(B283&gt;0,C283/B283*100,"")</f>
        <v/>
      </c>
    </row>
    <row r="284">
      <c r="F284" s="16">
        <f>IF(B284&gt;0,C284/B284*100,"")</f>
        <v/>
      </c>
    </row>
    <row r="285">
      <c r="F285" s="16">
        <f>IF(B285&gt;0,C285/B285*100,"")</f>
        <v/>
      </c>
    </row>
    <row r="286">
      <c r="F286" s="16">
        <f>IF(B286&gt;0,C286/B286*100,"")</f>
        <v/>
      </c>
    </row>
    <row r="287">
      <c r="F287" s="16">
        <f>IF(B287&gt;0,C287/B287*100,"")</f>
        <v/>
      </c>
    </row>
    <row r="288">
      <c r="F288" s="16">
        <f>IF(B288&gt;0,C288/B288*100,"")</f>
        <v/>
      </c>
    </row>
    <row r="289">
      <c r="F289" s="16">
        <f>IF(B289&gt;0,C289/B289*100,"")</f>
        <v/>
      </c>
    </row>
    <row r="290">
      <c r="F290" s="16">
        <f>IF(B290&gt;0,C290/B290*100,"")</f>
        <v/>
      </c>
    </row>
    <row r="291">
      <c r="F291" s="16">
        <f>IF(B291&gt;0,C291/B291*100,"")</f>
        <v/>
      </c>
    </row>
    <row r="292">
      <c r="F292" s="16">
        <f>IF(B292&gt;0,C292/B292*100,"")</f>
        <v/>
      </c>
    </row>
    <row r="293">
      <c r="F293" s="16">
        <f>IF(B293&gt;0,C293/B293*100,"")</f>
        <v/>
      </c>
    </row>
    <row r="294">
      <c r="F294" s="16">
        <f>IF(B294&gt;0,C294/B294*100,"")</f>
        <v/>
      </c>
    </row>
    <row r="295">
      <c r="F295" s="16">
        <f>IF(B295&gt;0,C295/B295*100,"")</f>
        <v/>
      </c>
    </row>
    <row r="296">
      <c r="F296" s="16">
        <f>IF(B296&gt;0,C296/B296*100,"")</f>
        <v/>
      </c>
    </row>
    <row r="297">
      <c r="F297" s="16">
        <f>IF(B297&gt;0,C297/B297*100,"")</f>
        <v/>
      </c>
    </row>
    <row r="298">
      <c r="F298" s="16">
        <f>IF(B298&gt;0,C298/B298*100,"")</f>
        <v/>
      </c>
    </row>
    <row r="299">
      <c r="F299" s="16">
        <f>IF(B299&gt;0,C299/B299*100,"")</f>
        <v/>
      </c>
    </row>
    <row r="300">
      <c r="F300" s="16">
        <f>IF(B300&gt;0,C300/B300*100,"")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0" customWidth="1" min="4" max="4"/>
    <col width="22" customWidth="1" min="5" max="5"/>
    <col width="30" customWidth="1" min="6" max="6"/>
  </cols>
  <sheetData>
    <row r="1">
      <c r="A1" s="1" t="inlineStr">
        <is>
          <t>Performance systeme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</row>
    <row r="3">
      <c r="A3" s="11" t="inlineStr">
        <is>
          <t>ID test</t>
        </is>
      </c>
      <c r="B3" s="11" t="inlineStr">
        <is>
          <t>Demarrage a froid (s)</t>
        </is>
      </c>
      <c r="C3" s="11" t="inlineStr">
        <is>
          <t>Temps transcription (s)</t>
        </is>
      </c>
      <c r="D3" s="11" t="inlineStr">
        <is>
          <t>Temps evaluation (s)</t>
        </is>
      </c>
      <c r="E3" s="11" t="inlineStr">
        <is>
          <t>Taux d'echec appels (%)</t>
        </is>
      </c>
      <c r="F3" s="11" t="inlineStr">
        <is>
          <t>Remarques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2">
      <c r="B2" s="1" t="inlineStr">
        <is>
          <t>Synthese — tableau de bord</t>
        </is>
      </c>
    </row>
    <row r="4">
      <c r="B4" s="5" t="inlineStr">
        <is>
          <t>Qualite de transcription &amp; accord des scores (par langue)</t>
        </is>
      </c>
    </row>
    <row r="5">
      <c r="B5" s="7" t="inlineStr">
        <is>
          <t>Metrique</t>
        </is>
      </c>
      <c r="C5" s="7" t="inlineStr">
        <is>
          <t>AR</t>
        </is>
      </c>
      <c r="D5" s="7" t="inlineStr">
        <is>
          <t>FR</t>
        </is>
      </c>
      <c r="E5" s="7" t="inlineStr">
        <is>
          <t>EN</t>
        </is>
      </c>
      <c r="F5" s="7" t="inlineStr">
        <is>
          <t>Global</t>
        </is>
      </c>
    </row>
    <row r="6">
      <c r="B6" s="17" t="inlineStr">
        <is>
          <t>WER moyen (%)</t>
        </is>
      </c>
      <c r="C6" s="18">
        <f>IFERROR(AVERAGEIFS('Journal des tests'!K3:K300,'Journal des tests'!$D$3:$D$300,"AR"),"")</f>
        <v/>
      </c>
      <c r="D6" s="18">
        <f>IFERROR(AVERAGEIFS('Journal des tests'!K3:K300,'Journal des tests'!$D$3:$D$300,"FR"),"")</f>
        <v/>
      </c>
      <c r="E6" s="18">
        <f>IFERROR(AVERAGEIFS('Journal des tests'!K3:K300,'Journal des tests'!$D$3:$D$300,"EN"),"")</f>
        <v/>
      </c>
      <c r="F6" s="18">
        <f>IFERROR(AVERAGE('Journal des tests'!K3:K300),"")</f>
        <v/>
      </c>
    </row>
    <row r="7">
      <c r="B7" s="17" t="inlineStr">
        <is>
          <t>CER moyen (%)</t>
        </is>
      </c>
      <c r="C7" s="18">
        <f>IFERROR(AVERAGEIFS('Journal des tests'!L3:L300,'Journal des tests'!$D$3:$D$300,"AR"),"")</f>
        <v/>
      </c>
      <c r="D7" s="18">
        <f>IFERROR(AVERAGEIFS('Journal des tests'!L3:L300,'Journal des tests'!$D$3:$D$300,"FR"),"")</f>
        <v/>
      </c>
      <c r="E7" s="18">
        <f>IFERROR(AVERAGEIFS('Journal des tests'!L3:L300,'Journal des tests'!$D$3:$D$300,"EN"),"")</f>
        <v/>
      </c>
      <c r="F7" s="18">
        <f>IFERROR(AVERAGE('Journal des tests'!L3:L300),"")</f>
        <v/>
      </c>
    </row>
    <row r="8">
      <c r="B8" s="17" t="inlineStr">
        <is>
          <t>DER tashkeel moyen (%)</t>
        </is>
      </c>
      <c r="C8" s="18">
        <f>IFERROR(AVERAGEIFS('Journal des tests'!M3:M300,'Journal des tests'!$D$3:$D$300,"AR"),"")</f>
        <v/>
      </c>
      <c r="D8" s="18">
        <f>IFERROR(AVERAGEIFS('Journal des tests'!M3:M300,'Journal des tests'!$D$3:$D$300,"FR"),"")</f>
        <v/>
      </c>
      <c r="E8" s="18">
        <f>IFERROR(AVERAGEIFS('Journal des tests'!M3:M300,'Journal des tests'!$D$3:$D$300,"EN"),"")</f>
        <v/>
      </c>
      <c r="F8" s="18">
        <f>IFERROR(AVERAGE('Journal des tests'!M3:M300),"")</f>
        <v/>
      </c>
    </row>
    <row r="9">
      <c r="B9" s="17" t="inlineStr">
        <is>
          <t>MAE score (|H-S|)</t>
        </is>
      </c>
      <c r="C9" s="18">
        <f>IFERROR(AVERAGEIFS('Journal des tests'!P3:P300,'Journal des tests'!$D$3:$D$300,"AR"),"")</f>
        <v/>
      </c>
      <c r="D9" s="18">
        <f>IFERROR(AVERAGEIFS('Journal des tests'!P3:P300,'Journal des tests'!$D$3:$D$300,"FR"),"")</f>
        <v/>
      </c>
      <c r="E9" s="18">
        <f>IFERROR(AVERAGEIFS('Journal des tests'!P3:P300,'Journal des tests'!$D$3:$D$300,"EN"),"")</f>
        <v/>
      </c>
      <c r="F9" s="18">
        <f>IFERROR(AVERAGE('Journal des tests'!P3:P300),"")</f>
        <v/>
      </c>
    </row>
    <row r="10">
      <c r="B10" s="17" t="inlineStr">
        <is>
          <t>Correlation score H vs S (r)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8">
        <f>IFERROR(CORREL('Journal des tests'!N3:N300,'Journal des tests'!O3:O300),"")</f>
        <v/>
      </c>
    </row>
    <row r="12">
      <c r="B12" s="5" t="inlineStr">
        <is>
          <t>F1 moyen par type d'evenement</t>
        </is>
      </c>
    </row>
    <row r="13">
      <c r="B13" s="7" t="inlineStr">
        <is>
          <t>Type d'evenement</t>
        </is>
      </c>
      <c r="C13" s="7" t="inlineStr">
        <is>
          <t>F1 moyen</t>
        </is>
      </c>
      <c r="D13" s="20" t="n"/>
      <c r="E13" s="20" t="n"/>
      <c r="F13" s="21" t="n"/>
    </row>
    <row r="14">
      <c r="B14" s="11" t="inlineStr">
        <is>
          <t>Hesitations</t>
        </is>
      </c>
      <c r="C14" s="18">
        <f>IFERROR(AVERAGEIFS('Detection d''evenements'!K3:K300,'Detection d''evenements'!$C$3:$C$300,"Hesitations"),"")</f>
        <v/>
      </c>
    </row>
    <row r="15">
      <c r="B15" s="11" t="inlineStr">
        <is>
          <t>Silences</t>
        </is>
      </c>
      <c r="C15" s="18">
        <f>IFERROR(AVERAGEIFS('Detection d''evenements'!K3:K300,'Detection d''evenements'!$C$3:$C$300,"Silences"),"")</f>
        <v/>
      </c>
    </row>
    <row r="16">
      <c r="B16" s="11" t="inlineStr">
        <is>
          <t>Autocorrections</t>
        </is>
      </c>
      <c r="C16" s="18">
        <f>IFERROR(AVERAGEIFS('Detection d''evenements'!K3:K300,'Detection d''evenements'!$C$3:$C$300,"Autocorrections"),"")</f>
        <v/>
      </c>
    </row>
    <row r="17">
      <c r="B17" s="11" t="inlineStr">
        <is>
          <t>Repetitions</t>
        </is>
      </c>
      <c r="C17" s="18">
        <f>IFERROR(AVERAGEIFS('Detection d''evenements'!K3:K300,'Detection d''evenements'!$C$3:$C$300,"Repetitions"),"")</f>
        <v/>
      </c>
    </row>
    <row r="18">
      <c r="B18" s="11" t="inlineStr">
        <is>
          <t>Faux departs</t>
        </is>
      </c>
      <c r="C18" s="18">
        <f>IFERROR(AVERAGEIFS('Detection d''evenements'!K3:K300,'Detection d''evenements'!$C$3:$C$300,"Faux departs"),"")</f>
        <v/>
      </c>
    </row>
    <row r="19">
      <c r="B19" s="11" t="inlineStr">
        <is>
          <t>Lapsus</t>
        </is>
      </c>
      <c r="C19" s="18">
        <f>IFERROR(AVERAGEIFS('Detection d''evenements'!K3:K300,'Detection d''evenements'!$C$3:$C$300,"Lapsus"),"")</f>
        <v/>
      </c>
    </row>
    <row r="20">
      <c r="B20" s="11" t="inlineStr">
        <is>
          <t>Erreurs de chiffres</t>
        </is>
      </c>
      <c r="C20" s="18">
        <f>IFERROR(AVERAGEIFS('Detection d''evenements'!K3:K300,'Detection d''evenements'!$C$3:$C$300,"Erreurs de chiffres"),"")</f>
        <v/>
      </c>
    </row>
    <row r="21">
      <c r="B21" s="11" t="inlineStr">
        <is>
          <t>Terminologie</t>
        </is>
      </c>
      <c r="C21" s="18">
        <f>IFERROR(AVERAGEIFS('Detection d''evenements'!K3:K300,'Detection d''evenements'!$C$3:$C$300,"Terminologie"),"")</f>
        <v/>
      </c>
    </row>
    <row r="23">
      <c r="B23" s="17" t="inlineStr">
        <is>
          <t>Exactitude i'rab moyenne (%)</t>
        </is>
      </c>
      <c r="C23" s="22">
        <f>IFERROR(AVERAGE('Module arabe (i''rab)'!F3:F300),"")</f>
        <v/>
      </c>
    </row>
    <row r="24">
      <c r="B24" s="17" t="inlineStr">
        <is>
          <t>Nombre de tests enregistres</t>
        </is>
      </c>
      <c r="C24" s="19">
        <f>COUNTA('Journal des tests'!A3:A300)</f>
        <v/>
      </c>
    </row>
    <row r="26">
      <c r="B26" s="6" t="inlineStr">
        <is>
          <t>Les valeurs s'actualisent automatiquement quand vous remplissez les onglets.</t>
        </is>
      </c>
    </row>
  </sheetData>
  <mergeCells count="11">
    <mergeCell ref="C13:F13"/>
    <mergeCell ref="C18:F18"/>
    <mergeCell ref="C17:F17"/>
    <mergeCell ref="C23:F23"/>
    <mergeCell ref="C20:F20"/>
    <mergeCell ref="C21:F21"/>
    <mergeCell ref="C16:F16"/>
    <mergeCell ref="C15:F15"/>
    <mergeCell ref="C24:F24"/>
    <mergeCell ref="C19:F19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2026-07-31T10:28:37Z</dcterms:created>
  <dcterms:modified xmlns:dcterms="http://purl.org/dc/terms/" xmlns:xsi="http://www.w3.org/2001/XMLSchema-instance" xsi:type="dcterms:W3CDTF">2026-07-31T10:28:37Z</dcterms:modified>
</cp:coreProperties>
</file>